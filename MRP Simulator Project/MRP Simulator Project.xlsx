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hidePivotFieldList="1" defaultThemeVersion="202300"/>
  <mc:AlternateContent xmlns:mc="http://schemas.openxmlformats.org/markup-compatibility/2006">
    <mc:Choice Requires="x15">
      <x15ac:absPath xmlns:x15ac="http://schemas.microsoft.com/office/spreadsheetml/2010/11/ac" url="/Users/parassingh/Downloads/MRP Simulator Project/"/>
    </mc:Choice>
  </mc:AlternateContent>
  <xr:revisionPtr revIDLastSave="0" documentId="13_ncr:1_{8B3A4208-656D-2447-BF9A-C5F84C198942}" xr6:coauthVersionLast="47" xr6:coauthVersionMax="47" xr10:uidLastSave="{00000000-0000-0000-0000-000000000000}"/>
  <bookViews>
    <workbookView xWindow="0" yWindow="660" windowWidth="29400" windowHeight="18460" xr2:uid="{EF576FB8-E0A6-CB47-AC44-961798B71E0C}"/>
  </bookViews>
  <sheets>
    <sheet name="Dashboard" sheetId="1" r:id="rId1"/>
    <sheet name="Items" sheetId="10" r:id="rId2"/>
    <sheet name="BOM" sheetId="3" r:id="rId3"/>
    <sheet name="Inventory" sheetId="4" r:id="rId4"/>
    <sheet name="Customer Orders" sheetId="5" r:id="rId5"/>
    <sheet name="Suppliers" sheetId="6" r:id="rId6"/>
    <sheet name="BOM Explosion" sheetId="11" r:id="rId7"/>
    <sheet name="MRP" sheetId="7" r:id="rId8"/>
    <sheet name="Planned Production Orders" sheetId="8" r:id="rId9"/>
    <sheet name="Planned Purchase Orders" sheetId="9" r:id="rId10"/>
  </sheets>
  <definedNames>
    <definedName name="Slicer_inventory_status">#N/A</definedName>
    <definedName name="Slicer_item_level">#N/A</definedName>
    <definedName name="Slicer_order_status">#N/A</definedName>
  </definedNames>
  <calcPr calcId="191029"/>
  <pivotCaches>
    <pivotCache cacheId="3" r:id="rId11"/>
    <pivotCache cacheId="4" r:id="rId12"/>
    <pivotCache cacheId="5"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2" i="1" l="1"/>
  <c r="P8" i="1"/>
  <c r="M8" i="1"/>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S8" i="1"/>
  <c r="D8" i="1"/>
  <c r="F2" i="7" a="1"/>
  <c r="F2" i="7" s="1"/>
  <c r="C2" i="11" a="1"/>
  <c r="C2" i="11" s="1"/>
  <c r="B2" i="11" a="1"/>
  <c r="A2" i="11" a="1"/>
  <c r="A2" i="11" s="1"/>
  <c r="A2" i="7" a="1"/>
  <c r="F2" i="6"/>
  <c r="F3" i="6"/>
  <c r="F4" i="6"/>
  <c r="F5" i="6"/>
  <c r="F6" i="6"/>
  <c r="F7" i="6"/>
  <c r="F8" i="6"/>
  <c r="F9" i="6"/>
  <c r="F10" i="6"/>
  <c r="F11" i="6"/>
  <c r="B2" i="11" l="1"/>
  <c r="F2" i="11" a="1"/>
  <c r="F2" i="11" s="1"/>
  <c r="A2" i="7"/>
  <c r="D2" i="7" s="1" a="1"/>
  <c r="C2" i="7" a="1"/>
  <c r="C2" i="7" s="1"/>
  <c r="E2" i="7" a="1"/>
  <c r="E2" i="7" s="1"/>
  <c r="G2" i="7" s="1"/>
  <c r="B2" i="7" a="1"/>
  <c r="B2" i="7" s="1"/>
  <c r="H78" i="7" l="1"/>
  <c r="H77" i="7"/>
  <c r="H76" i="7"/>
  <c r="H84" i="7"/>
  <c r="H72" i="7"/>
  <c r="H71" i="7"/>
  <c r="H70" i="7"/>
  <c r="H69" i="7"/>
  <c r="H68" i="7"/>
  <c r="H67" i="7"/>
  <c r="H66" i="7"/>
  <c r="H63" i="7"/>
  <c r="H62" i="7"/>
  <c r="H61" i="7"/>
  <c r="H60" i="7"/>
  <c r="H59" i="7"/>
  <c r="H58" i="7"/>
  <c r="H57" i="7"/>
  <c r="H56" i="7"/>
  <c r="H55" i="7"/>
  <c r="H75" i="7"/>
  <c r="H73" i="7"/>
  <c r="H52" i="7"/>
  <c r="H49" i="7"/>
  <c r="H48" i="7"/>
  <c r="H47" i="7"/>
  <c r="H46" i="7"/>
  <c r="H45" i="7"/>
  <c r="H44" i="7"/>
  <c r="H34" i="7"/>
  <c r="H85" i="7"/>
  <c r="H79" i="7"/>
  <c r="H54" i="7"/>
  <c r="H51" i="7"/>
  <c r="H50" i="7"/>
  <c r="H43" i="7"/>
  <c r="H42" i="7"/>
  <c r="H41" i="7"/>
  <c r="H40" i="7"/>
  <c r="H39" i="7"/>
  <c r="H38" i="7"/>
  <c r="H37" i="7"/>
  <c r="H36" i="7"/>
  <c r="H35" i="7"/>
  <c r="H33" i="7"/>
  <c r="H32" i="7"/>
  <c r="H31" i="7"/>
  <c r="H30" i="7"/>
  <c r="H29" i="7"/>
  <c r="H28" i="7"/>
  <c r="H27" i="7"/>
  <c r="H26" i="7"/>
  <c r="H25" i="7"/>
  <c r="H24" i="7"/>
  <c r="H23" i="7"/>
  <c r="H80" i="7"/>
  <c r="I15" i="7"/>
  <c r="H86" i="7"/>
  <c r="H83" i="7"/>
  <c r="H82" i="7"/>
  <c r="H81" i="7"/>
  <c r="H74" i="7"/>
  <c r="H65" i="7"/>
  <c r="H64" i="7"/>
  <c r="H53" i="7"/>
  <c r="H22" i="7"/>
  <c r="H21" i="7"/>
  <c r="H20" i="7"/>
  <c r="H19" i="7"/>
  <c r="H18" i="7"/>
  <c r="H17" i="7"/>
  <c r="H11" i="7"/>
  <c r="H10" i="7"/>
  <c r="I16" i="7"/>
  <c r="I14" i="7"/>
  <c r="I13" i="7"/>
  <c r="I12" i="7"/>
  <c r="I9" i="7"/>
  <c r="I8" i="7"/>
  <c r="I7" i="7"/>
  <c r="I6" i="7"/>
  <c r="I5" i="7"/>
  <c r="I4" i="7"/>
  <c r="I3" i="7"/>
  <c r="D2" i="7"/>
  <c r="F6" i="7"/>
  <c r="G6" i="7" s="1"/>
  <c r="F5" i="7"/>
  <c r="G5" i="7" s="1"/>
  <c r="F4" i="7"/>
  <c r="G4" i="7" s="1"/>
  <c r="F3" i="7"/>
  <c r="G3" i="7" s="1"/>
  <c r="F8" i="7" s="1"/>
  <c r="G8" i="7" s="1"/>
  <c r="F9" i="7"/>
  <c r="G9" i="7" s="1"/>
  <c r="F10" i="7" l="1"/>
  <c r="G10" i="7" s="1"/>
  <c r="I10" i="7" s="1"/>
  <c r="F11" i="7"/>
  <c r="G11" i="7" s="1"/>
  <c r="I11" i="7" s="1"/>
  <c r="F13" i="7"/>
  <c r="G13" i="7" s="1"/>
  <c r="F14" i="7"/>
  <c r="G14" i="7" s="1"/>
  <c r="F15" i="7"/>
  <c r="G15" i="7" s="1"/>
  <c r="H2" i="7"/>
  <c r="I2" i="7"/>
  <c r="F24" i="7"/>
  <c r="G24" i="7" s="1"/>
  <c r="I24" i="7" s="1"/>
  <c r="F25" i="7"/>
  <c r="G25" i="7" s="1"/>
  <c r="I25" i="7" s="1"/>
  <c r="F26" i="7"/>
  <c r="G26" i="7" s="1"/>
  <c r="I26" i="7" s="1"/>
  <c r="F27" i="7"/>
  <c r="G27" i="7" s="1"/>
  <c r="I27" i="7" s="1"/>
  <c r="F28" i="7"/>
  <c r="G28" i="7" s="1"/>
  <c r="I28" i="7" s="1"/>
  <c r="F29" i="7"/>
  <c r="G29" i="7" s="1"/>
  <c r="I29" i="7" s="1"/>
  <c r="H6" i="7"/>
  <c r="F17" i="7"/>
  <c r="G17" i="7" s="1"/>
  <c r="I17" i="7" s="1"/>
  <c r="F18" i="7"/>
  <c r="G18" i="7" s="1"/>
  <c r="I18" i="7" s="1"/>
  <c r="F19" i="7"/>
  <c r="G19" i="7" s="1"/>
  <c r="I19" i="7" s="1"/>
  <c r="F20" i="7"/>
  <c r="G20" i="7" s="1"/>
  <c r="I20" i="7" s="1"/>
  <c r="F21" i="7"/>
  <c r="G21" i="7" s="1"/>
  <c r="I21" i="7" s="1"/>
  <c r="F22" i="7"/>
  <c r="G22" i="7" s="1"/>
  <c r="I22" i="7" s="1"/>
  <c r="F23" i="7"/>
  <c r="G23" i="7" s="1"/>
  <c r="I23" i="7" s="1"/>
  <c r="H5" i="7"/>
  <c r="F12" i="7"/>
  <c r="G12" i="7" s="1"/>
  <c r="H4" i="7"/>
  <c r="F7" i="7"/>
  <c r="G7" i="7" s="1"/>
  <c r="F16" i="7"/>
  <c r="G16" i="7" s="1"/>
  <c r="H3" i="7"/>
  <c r="F49" i="7"/>
  <c r="G49" i="7" s="1"/>
  <c r="I49" i="7" s="1"/>
  <c r="F42" i="7"/>
  <c r="G42" i="7" s="1"/>
  <c r="I42" i="7" s="1"/>
  <c r="F40" i="7"/>
  <c r="G40" i="7" s="1"/>
  <c r="I40" i="7" s="1"/>
  <c r="F41" i="7"/>
  <c r="G41" i="7" s="1"/>
  <c r="I41" i="7" s="1"/>
  <c r="F43" i="7"/>
  <c r="G43" i="7" s="1"/>
  <c r="I43" i="7" s="1"/>
  <c r="F48" i="7"/>
  <c r="G48" i="7" s="1"/>
  <c r="I48" i="7" s="1"/>
  <c r="F47" i="7"/>
  <c r="G47" i="7" s="1"/>
  <c r="I47" i="7" s="1"/>
  <c r="F46" i="7"/>
  <c r="G46" i="7" s="1"/>
  <c r="I46" i="7" s="1"/>
  <c r="F45" i="7"/>
  <c r="G45" i="7" s="1"/>
  <c r="I45" i="7" s="1"/>
  <c r="F44" i="7"/>
  <c r="G44" i="7" s="1"/>
  <c r="I44" i="7" s="1"/>
  <c r="F39" i="7"/>
  <c r="G39" i="7" s="1"/>
  <c r="I39" i="7" s="1"/>
  <c r="H8" i="7"/>
  <c r="F55" i="7"/>
  <c r="G55" i="7" s="1"/>
  <c r="I55" i="7" s="1"/>
  <c r="F53" i="7"/>
  <c r="G53" i="7" s="1"/>
  <c r="I53" i="7" s="1"/>
  <c r="F52" i="7"/>
  <c r="G52" i="7" s="1"/>
  <c r="I52" i="7" s="1"/>
  <c r="F54" i="7"/>
  <c r="G54" i="7" s="1"/>
  <c r="I54" i="7" s="1"/>
  <c r="F51" i="7"/>
  <c r="G51" i="7" s="1"/>
  <c r="I51" i="7" s="1"/>
  <c r="F50" i="7"/>
  <c r="G50" i="7" s="1"/>
  <c r="I50" i="7" s="1"/>
  <c r="F56" i="7"/>
  <c r="G56" i="7" s="1"/>
  <c r="I56" i="7" s="1"/>
  <c r="H9" i="7"/>
  <c r="F68" i="7"/>
  <c r="G68" i="7" s="1"/>
  <c r="I68" i="7" s="1"/>
  <c r="F67" i="7"/>
  <c r="G67" i="7" s="1"/>
  <c r="I67" i="7" s="1"/>
  <c r="F66" i="7"/>
  <c r="G66" i="7" s="1"/>
  <c r="I66" i="7" s="1"/>
  <c r="F65" i="7"/>
  <c r="G65" i="7" s="1"/>
  <c r="I65" i="7" s="1"/>
  <c r="F64" i="7"/>
  <c r="G64" i="7" s="1"/>
  <c r="I64" i="7" s="1"/>
  <c r="F69" i="7"/>
  <c r="G69" i="7" s="1"/>
  <c r="I69" i="7" s="1"/>
  <c r="H13" i="7"/>
  <c r="F77" i="7"/>
  <c r="G77" i="7" s="1"/>
  <c r="I77" i="7" s="1"/>
  <c r="F76" i="7"/>
  <c r="G76" i="7" s="1"/>
  <c r="I76" i="7" s="1"/>
  <c r="F57" i="7" l="1"/>
  <c r="G57" i="7" s="1"/>
  <c r="I57" i="7" s="1"/>
  <c r="F62" i="7"/>
  <c r="G62" i="7" s="1"/>
  <c r="I62" i="7" s="1"/>
  <c r="F61" i="7"/>
  <c r="G61" i="7" s="1"/>
  <c r="I61" i="7" s="1"/>
  <c r="F60" i="7"/>
  <c r="G60" i="7" s="1"/>
  <c r="I60" i="7" s="1"/>
  <c r="F59" i="7"/>
  <c r="G59" i="7" s="1"/>
  <c r="I59" i="7" s="1"/>
  <c r="F58" i="7"/>
  <c r="G58" i="7" s="1"/>
  <c r="I58" i="7" s="1"/>
  <c r="H12" i="7"/>
  <c r="H16" i="7"/>
  <c r="F86" i="7"/>
  <c r="G86" i="7" s="1"/>
  <c r="I86" i="7" s="1"/>
  <c r="F84" i="7"/>
  <c r="G84" i="7" s="1"/>
  <c r="I84" i="7" s="1"/>
  <c r="F83" i="7"/>
  <c r="G83" i="7" s="1"/>
  <c r="I83" i="7" s="1"/>
  <c r="F82" i="7"/>
  <c r="G82" i="7" s="1"/>
  <c r="I82" i="7" s="1"/>
  <c r="F81" i="7"/>
  <c r="G81" i="7" s="1"/>
  <c r="I81" i="7" s="1"/>
  <c r="F85" i="7"/>
  <c r="G85" i="7" s="1"/>
  <c r="I85" i="7" s="1"/>
  <c r="F35" i="7"/>
  <c r="G35" i="7" s="1"/>
  <c r="I35" i="7" s="1"/>
  <c r="F38" i="7"/>
  <c r="G38" i="7" s="1"/>
  <c r="I38" i="7" s="1"/>
  <c r="F30" i="7"/>
  <c r="G30" i="7" s="1"/>
  <c r="I30" i="7" s="1"/>
  <c r="F31" i="7"/>
  <c r="G31" i="7" s="1"/>
  <c r="I31" i="7" s="1"/>
  <c r="F37" i="7"/>
  <c r="G37" i="7" s="1"/>
  <c r="I37" i="7" s="1"/>
  <c r="F36" i="7"/>
  <c r="G36" i="7" s="1"/>
  <c r="I36" i="7" s="1"/>
  <c r="F63" i="7"/>
  <c r="G63" i="7" s="1"/>
  <c r="I63" i="7" s="1"/>
  <c r="F75" i="7"/>
  <c r="G75" i="7" s="1"/>
  <c r="I75" i="7" s="1"/>
  <c r="F74" i="7"/>
  <c r="G74" i="7" s="1"/>
  <c r="I74" i="7" s="1"/>
  <c r="F73" i="7"/>
  <c r="G73" i="7" s="1"/>
  <c r="I73" i="7" s="1"/>
  <c r="F72" i="7"/>
  <c r="G72" i="7" s="1"/>
  <c r="I72" i="7" s="1"/>
  <c r="F70" i="7"/>
  <c r="G70" i="7" s="1"/>
  <c r="I70" i="7" s="1"/>
  <c r="F71" i="7"/>
  <c r="G71" i="7" s="1"/>
  <c r="I71" i="7" s="1"/>
  <c r="H14" i="7"/>
  <c r="F80" i="7"/>
  <c r="G80" i="7" s="1"/>
  <c r="I80" i="7" s="1"/>
  <c r="F79" i="7"/>
  <c r="G79" i="7" s="1"/>
  <c r="I79" i="7" s="1"/>
  <c r="F78" i="7"/>
  <c r="G78" i="7" s="1"/>
  <c r="I78" i="7" s="1"/>
  <c r="H15" i="7"/>
  <c r="F34" i="7"/>
  <c r="G34" i="7" s="1"/>
  <c r="I34" i="7" s="1"/>
  <c r="F33" i="7"/>
  <c r="G33" i="7" s="1"/>
  <c r="I33" i="7" s="1"/>
  <c r="F32" i="7"/>
  <c r="G32" i="7" s="1"/>
  <c r="I32" i="7" s="1"/>
  <c r="H7" i="7"/>
  <c r="D2" i="11" a="1"/>
  <c r="B2" i="9" l="1" a="1"/>
  <c r="D19" i="1"/>
  <c r="J8" i="1"/>
  <c r="F2" i="9" a="1"/>
  <c r="F2" i="9" s="1"/>
  <c r="B2" i="8" a="1"/>
  <c r="D18" i="1"/>
  <c r="G8" i="1"/>
  <c r="D2" i="11"/>
  <c r="E2" i="11" a="1"/>
  <c r="E2" i="11" s="1"/>
  <c r="B2" i="9" l="1"/>
  <c r="A2" i="9" a="1"/>
  <c r="A2" i="9" s="1"/>
  <c r="B2" i="8"/>
  <c r="A2" i="8" a="1"/>
  <c r="A2" i="8" s="1"/>
  <c r="C2" i="8" a="1"/>
  <c r="C2" i="8" s="1"/>
  <c r="D2" i="8" l="1" a="1"/>
  <c r="D2" i="8" s="1"/>
  <c r="E2" i="8" a="1"/>
  <c r="E2" i="8" s="1"/>
  <c r="G2" i="9" a="1"/>
  <c r="G2" i="9" s="1"/>
  <c r="D2" i="9" a="1"/>
  <c r="C2" i="9" a="1"/>
  <c r="C2" i="9" s="1"/>
  <c r="D2" i="9" l="1"/>
  <c r="E2" i="9" a="1"/>
  <c r="E2"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<sst xmlns="http://schemas.openxmlformats.org/spreadsheetml/2006/main" count="502" uniqueCount="197">
  <si>
    <t>item_id</t>
  </si>
  <si>
    <t>item_name</t>
  </si>
  <si>
    <t>item_level</t>
  </si>
  <si>
    <t>item_category</t>
  </si>
  <si>
    <t>procurement_type</t>
  </si>
  <si>
    <t>supplier_id</t>
  </si>
  <si>
    <t>unit_of_measure</t>
  </si>
  <si>
    <t>is_active</t>
  </si>
  <si>
    <t>Industrial Centrifugal Water Pump</t>
  </si>
  <si>
    <t>Finished Product</t>
  </si>
  <si>
    <t>Manufactured</t>
  </si>
  <si>
    <t>NULL</t>
  </si>
  <si>
    <t>EA</t>
  </si>
  <si>
    <t>Pump Assembly</t>
  </si>
  <si>
    <t>Assembly</t>
  </si>
  <si>
    <t>Electric Motor Assembly</t>
  </si>
  <si>
    <t>Base Frame Assembly</t>
  </si>
  <si>
    <t>Packaging Assembly</t>
  </si>
  <si>
    <t>Casing Assembly</t>
  </si>
  <si>
    <t>Rotating Assembly</t>
  </si>
  <si>
    <t>Mechanical Seal Assembly</t>
  </si>
  <si>
    <t>Suction Flange</t>
  </si>
  <si>
    <t>Component</t>
  </si>
  <si>
    <t>Purchased</t>
  </si>
  <si>
    <t>Discharge Flange</t>
  </si>
  <si>
    <t>Motor Housing Assembly</t>
  </si>
  <si>
    <t>Rotor Assembly</t>
  </si>
  <si>
    <t>Stator Assembly</t>
  </si>
  <si>
    <t>Cooling Fan Assembly</t>
  </si>
  <si>
    <t>Terminal Box Assembly</t>
  </si>
  <si>
    <t>Base Plate</t>
  </si>
  <si>
    <t>Mounting Feet</t>
  </si>
  <si>
    <t>Coupling Guard</t>
  </si>
  <si>
    <t>Anti Vibration Pads</t>
  </si>
  <si>
    <t>Anchor Bolts</t>
  </si>
  <si>
    <t>Anchor Nuts</t>
  </si>
  <si>
    <t>Flat Washers</t>
  </si>
  <si>
    <t>Carton Box</t>
  </si>
  <si>
    <t>Foam Inserts</t>
  </si>
  <si>
    <t>Plastic Bag</t>
  </si>
  <si>
    <t>User Manual</t>
  </si>
  <si>
    <t>Warranty Card</t>
  </si>
  <si>
    <t>Product Label</t>
  </si>
  <si>
    <t>Pump Casing</t>
  </si>
  <si>
    <t>Casing Cover</t>
  </si>
  <si>
    <t>Wear Ring</t>
  </si>
  <si>
    <t>Casing Gasket</t>
  </si>
  <si>
    <t>Drain Plug</t>
  </si>
  <si>
    <t>Hex Bolt M12</t>
  </si>
  <si>
    <t>Hex Nut M12</t>
  </si>
  <si>
    <t>Flat Washer</t>
  </si>
  <si>
    <t>Spring Washer</t>
  </si>
  <si>
    <t>Pump Shaft</t>
  </si>
  <si>
    <t>Impeller</t>
  </si>
  <si>
    <t>Front Bearing</t>
  </si>
  <si>
    <t>Rear Bearing</t>
  </si>
  <si>
    <t>Bearing Housing</t>
  </si>
  <si>
    <t>Shaft Sleeve</t>
  </si>
  <si>
    <t>Shaft Key</t>
  </si>
  <si>
    <t>Bearing Lock Nut</t>
  </si>
  <si>
    <t>Retaining Ring</t>
  </si>
  <si>
    <t>Spacer Ring</t>
  </si>
  <si>
    <t>Circlip</t>
  </si>
  <si>
    <t>Rotating Seal Ring</t>
  </si>
  <si>
    <t>Stationary Seal Ring</t>
  </si>
  <si>
    <t>Spring</t>
  </si>
  <si>
    <t>O-Ring</t>
  </si>
  <si>
    <t>Seal Retainer</t>
  </si>
  <si>
    <t>Drive Pin</t>
  </si>
  <si>
    <t>Retaining Clip</t>
  </si>
  <si>
    <t>Motor Housing</t>
  </si>
  <si>
    <t>Fan Cover</t>
  </si>
  <si>
    <t>Nameplate</t>
  </si>
  <si>
    <t>Cable Gland</t>
  </si>
  <si>
    <t>Mounting Bolt</t>
  </si>
  <si>
    <t>Mounting Nut</t>
  </si>
  <si>
    <t>Lock Washer</t>
  </si>
  <si>
    <t>Rotor Shaft</t>
  </si>
  <si>
    <t>Rotor Core</t>
  </si>
  <si>
    <t>Copper Bars</t>
  </si>
  <si>
    <t>End Rings</t>
  </si>
  <si>
    <t>Rotor Retaining Ring</t>
  </si>
  <si>
    <t>Balancing Weight</t>
  </si>
  <si>
    <t>Stator Core</t>
  </si>
  <si>
    <t>Copper Windings</t>
  </si>
  <si>
    <t>Insulation Paper</t>
  </si>
  <si>
    <t>Slot Wedges</t>
  </si>
  <si>
    <t>Terminal Leads</t>
  </si>
  <si>
    <t>Insulating Sleeves</t>
  </si>
  <si>
    <t>Cable Ties</t>
  </si>
  <si>
    <t>Varnish Pack</t>
  </si>
  <si>
    <t>Cooling Fan</t>
  </si>
  <si>
    <t>Fan Hub</t>
  </si>
  <si>
    <t>Set Screw</t>
  </si>
  <si>
    <t>Terminal Box</t>
  </si>
  <si>
    <t>Terminal Block</t>
  </si>
  <si>
    <t>Terminal Cover</t>
  </si>
  <si>
    <t>Terminal Screw</t>
  </si>
  <si>
    <t>Terminal Nut</t>
  </si>
  <si>
    <t>Cable Clamp</t>
  </si>
  <si>
    <t>bom_id</t>
  </si>
  <si>
    <t>parent_item_id</t>
  </si>
  <si>
    <t>child_item_id</t>
  </si>
  <si>
    <t>quantity_required</t>
  </si>
  <si>
    <t>sequence_no</t>
  </si>
  <si>
    <t>quantity_on_hand</t>
  </si>
  <si>
    <t>allocated_quantity</t>
  </si>
  <si>
    <t>available_quantity</t>
  </si>
  <si>
    <t>last_updated</t>
  </si>
  <si>
    <t>customer_order_id</t>
  </si>
  <si>
    <t>customer_name</t>
  </si>
  <si>
    <t>order_quantity</t>
  </si>
  <si>
    <t>order_date</t>
  </si>
  <si>
    <t>due_date</t>
  </si>
  <si>
    <t>order_status</t>
  </si>
  <si>
    <t>ABC Industries</t>
  </si>
  <si>
    <t>Pending</t>
  </si>
  <si>
    <t>Delta Manufacturing</t>
  </si>
  <si>
    <t>Released</t>
  </si>
  <si>
    <t>HydroTech Solutions</t>
  </si>
  <si>
    <t>Prime Engineering</t>
  </si>
  <si>
    <t>Completed</t>
  </si>
  <si>
    <t>Apex Pumps Ltd.</t>
  </si>
  <si>
    <t>Global Water Systems</t>
  </si>
  <si>
    <t>Vertex Engineering</t>
  </si>
  <si>
    <t>BlueRiver Industries</t>
  </si>
  <si>
    <t>Cancelled</t>
  </si>
  <si>
    <t>Metro Process Equipments</t>
  </si>
  <si>
    <t>Nova Industrial Works</t>
  </si>
  <si>
    <t>supplier_name</t>
  </si>
  <si>
    <t>city</t>
  </si>
  <si>
    <t>country</t>
  </si>
  <si>
    <t>email</t>
  </si>
  <si>
    <t>phone</t>
  </si>
  <si>
    <t>SKF India Ltd.</t>
  </si>
  <si>
    <t>Pune</t>
  </si>
  <si>
    <t>India</t>
  </si>
  <si>
    <t>contact@skfindia.com</t>
  </si>
  <si>
    <t>Trelleborg Sealing Solutions</t>
  </si>
  <si>
    <t>Bengaluru</t>
  </si>
  <si>
    <t>sales@trelleborg.com</t>
  </si>
  <si>
    <t>L&amp;T Valves</t>
  </si>
  <si>
    <t>Chennai</t>
  </si>
  <si>
    <t>info@ltvalves.com</t>
  </si>
  <si>
    <t>Tata Steel Processing</t>
  </si>
  <si>
    <t>Jamshedpur</t>
  </si>
  <si>
    <t>support@tatasteel.com</t>
  </si>
  <si>
    <t>Hindalco Industries</t>
  </si>
  <si>
    <t>Mumbai</t>
  </si>
  <si>
    <t>sales@hindalco.com</t>
  </si>
  <si>
    <t>RR Kabel</t>
  </si>
  <si>
    <t>Vadodara</t>
  </si>
  <si>
    <t>contact@rrkabel.com</t>
  </si>
  <si>
    <t>Saint-Gobain India</t>
  </si>
  <si>
    <t>info@saint-gobain.com</t>
  </si>
  <si>
    <t>Fasteners India Pvt. Ltd.</t>
  </si>
  <si>
    <t>Ludhiana</t>
  </si>
  <si>
    <t>sales@fastenersindia.com</t>
  </si>
  <si>
    <t>Packwell Packaging</t>
  </si>
  <si>
    <t>Noida</t>
  </si>
  <si>
    <t>info@packwell.com</t>
  </si>
  <si>
    <t>C&amp;S Electric</t>
  </si>
  <si>
    <t>Delhi</t>
  </si>
  <si>
    <t>support@cselectric.com</t>
  </si>
  <si>
    <t>available_inventory</t>
  </si>
  <si>
    <t>gross_requirement</t>
  </si>
  <si>
    <t>net_requirement</t>
  </si>
  <si>
    <t>planned_production</t>
  </si>
  <si>
    <t>planned_purchase</t>
  </si>
  <si>
    <t>Parent Item ID</t>
  </si>
  <si>
    <t>Child Item ID</t>
  </si>
  <si>
    <t>Parent Net Requirement</t>
  </si>
  <si>
    <t>Child Gross Requirement</t>
  </si>
  <si>
    <t>Level</t>
  </si>
  <si>
    <t>BOM Qty</t>
  </si>
  <si>
    <t>Hela Innovations</t>
  </si>
  <si>
    <t>production_order_id</t>
  </si>
  <si>
    <t>planned_quantity</t>
  </si>
  <si>
    <t>purchase_order_id</t>
  </si>
  <si>
    <t>Total Customer Demand</t>
  </si>
  <si>
    <t>Total Planned Production</t>
  </si>
  <si>
    <t>Total Planned Purchase</t>
  </si>
  <si>
    <t>Inventory Available</t>
  </si>
  <si>
    <t>Production</t>
  </si>
  <si>
    <t>Purchase</t>
  </si>
  <si>
    <t>Row Labels</t>
  </si>
  <si>
    <t>Grand Total</t>
  </si>
  <si>
    <t>Count of item_id</t>
  </si>
  <si>
    <t>Count of customer_order_id</t>
  </si>
  <si>
    <t>inventory_status</t>
  </si>
  <si>
    <t>Healthy</t>
  </si>
  <si>
    <t>Low Stock</t>
  </si>
  <si>
    <t>Out of Stock</t>
  </si>
  <si>
    <t>Low Stock Items</t>
  </si>
  <si>
    <t>Out of Stock Items</t>
  </si>
  <si>
    <t>Last Updated:</t>
  </si>
  <si>
    <t>MRP &amp; Production Planning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</si>
</sst>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sz val="10"/>
      <color theme="1"/>
      <name val="Arial Unicode MS"/>
      <family val="2"/>
    </font>
    <font>
      <sz val="12"/>
      <color theme="0"/>
      <name val="Aptos Narrow"/>
      <family val="2"/>
      <scheme val="minor"/>
    </font>
    <font>
      <b/>
      <sz val="22"/>
      <color theme="0"/>
      <name val="Aptos Narrow (Body)"/>
    </font>
  </fonts>
  <fills count="4">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17">
    <xf numFmtId="0" fontId="0" fillId="0" borderId="0" xfId="0"/>
    <xf numFmtId="47" fontId="0" fillId="0" borderId="0" xfId="0" applyNumberFormat="1"/>
    <xf numFmtId="14" fontId="0" fillId="0" borderId="0" xfId="0" applyNumberFormat="1"/>
    <xf numFmtId="0" fontId="1" fillId="0" borderId="0" xfId="0" applyFont="1"/>
    <xf numFmtId="0" fontId="2" fillId="0" borderId="0" xfId="0" applyFont="1"/>
    <xf numFmtId="0" fontId="0" fillId="0" borderId="0" xfId="0" applyAlignment="1">
      <alignment wrapText="1"/>
    </xf>
    <xf numFmtId="0" fontId="0" fillId="0" borderId="0" xfId="0" pivotButton="1"/>
    <xf numFmtId="0" fontId="0" fillId="0" borderId="0" xfId="0" applyAlignment="1">
      <alignment horizontal="left"/>
    </xf>
    <xf numFmtId="0" fontId="3" fillId="2" borderId="2" xfId="0" applyFont="1" applyFill="1" applyBorder="1" applyAlignment="1">
      <alignment horizontal="center"/>
    </xf>
    <xf numFmtId="22" fontId="0" fillId="0" borderId="0" xfId="0" applyNumberFormat="1"/>
    <xf numFmtId="0" fontId="0" fillId="0" borderId="0" xfId="0" applyAlignment="1">
      <alignment horizontal="center"/>
    </xf>
    <xf numFmtId="22" fontId="0" fillId="0" borderId="0" xfId="0" applyNumberFormat="1" applyAlignment="1">
      <alignment horizont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2" borderId="0" xfId="0" applyFont="1" applyFill="1" applyAlignment="1">
      <alignment horizontal="center"/>
    </xf>
    <xf numFmtId="0" fontId="3" fillId="2" borderId="0" xfId="0" applyFont="1" applyFill="1" applyAlignment="1">
      <alignment horizontal="center"/>
    </xf>
    <xf numFmtId="0" fontId="0" fillId="0" borderId="0" xfId="0" applyNumberFormat="1"/>
  </cellXfs>
  <cellStyles count="1">
    <cellStyle name="Normal" xfId="0" builtinId="0"/>
  </cellStyles>
  <dxfs count="5">
    <dxf>
      <numFmt numFmtId="19" formatCode="dd/mm/yy"/>
    </dxf>
    <dxf>
      <numFmt numFmtId="19" formatCode="dd/mm/yy"/>
    </dxf>
    <dxf>
      <numFmt numFmtId="0" formatCode="General"/>
    </dxf>
    <dxf>
      <numFmt numFmtId="0" formatCode="General"/>
    </dxf>
    <dxf>
      <numFmt numFmtId="29" formatCode="mm:ss.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Production vs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Dashboard!$C$18:$C$19</c:f>
              <c:strCache>
                <c:ptCount val="2"/>
                <c:pt idx="0">
                  <c:v>Production</c:v>
                </c:pt>
                <c:pt idx="1">
                  <c:v>Purchase</c:v>
                </c:pt>
              </c:strCache>
            </c:strRef>
          </c:cat>
          <c:val>
            <c:numRef>
              <c:f>Dashboard!$D$18:$D$19</c:f>
              <c:numCache>
                <c:formatCode>General</c:formatCode>
                <c:ptCount val="2"/>
                <c:pt idx="0">
                  <c:v>590</c:v>
                </c:pt>
                <c:pt idx="1">
                  <c:v>13373</c:v>
                </c:pt>
              </c:numCache>
            </c:numRef>
          </c:val>
          <c:extLst>
            <c:ext xmlns:c16="http://schemas.microsoft.com/office/drawing/2014/chart" uri="{C3380CC4-5D6E-409C-BE32-E72D297353CC}">
              <c16:uniqueId val="{00000000-D5FD-CA49-9600-B5F309B1AFB3}"/>
            </c:ext>
          </c:extLst>
        </c:ser>
        <c:dLbls>
          <c:dLblPos val="inEnd"/>
          <c:showLegendKey val="0"/>
          <c:showVal val="1"/>
          <c:showCatName val="0"/>
          <c:showSerName val="0"/>
          <c:showPercent val="0"/>
          <c:showBubbleSize val="0"/>
        </c:dLbls>
        <c:gapWidth val="65"/>
        <c:axId val="1967421887"/>
        <c:axId val="1967418751"/>
      </c:barChart>
      <c:catAx>
        <c:axId val="19674218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7418751"/>
        <c:crosses val="autoZero"/>
        <c:auto val="1"/>
        <c:lblAlgn val="ctr"/>
        <c:lblOffset val="100"/>
        <c:noMultiLvlLbl val="0"/>
      </c:catAx>
      <c:valAx>
        <c:axId val="19674187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6742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[MRP Simulator Project.xlsx]Dashboard!PivotTable3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Order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8000"/>
            </a:schemeClr>
          </a:solidFill>
          <a:ln>
            <a:noFill/>
          </a:ln>
          <a:effectLst>
            <a:outerShdw blurRad="254000" sx="102000" sy="102000" algn="ctr" rotWithShape="0">
              <a:prstClr val="black">
                <a:alpha val="20000"/>
              </a:prstClr>
            </a:outerShdw>
          </a:effectLst>
        </c:spPr>
      </c:pivotFmt>
      <c:pivotFmt>
        <c:idx val="2"/>
        <c:spPr>
          <a:solidFill>
            <a:schemeClr val="accent1">
              <a:shade val="86000"/>
            </a:schemeClr>
          </a:solidFill>
          <a:ln>
            <a:noFill/>
          </a:ln>
          <a:effectLst>
            <a:outerShdw blurRad="254000" sx="102000" sy="102000" algn="ctr" rotWithShape="0">
              <a:prstClr val="black">
                <a:alpha val="20000"/>
              </a:prstClr>
            </a:outerShdw>
          </a:effectLst>
        </c:spPr>
      </c:pivotFmt>
      <c:pivotFmt>
        <c:idx val="3"/>
        <c:spPr>
          <a:solidFill>
            <a:schemeClr val="accent1">
              <a:tint val="86000"/>
            </a:schemeClr>
          </a:solidFill>
          <a:ln>
            <a:noFill/>
          </a:ln>
          <a:effectLst>
            <a:outerShdw blurRad="254000" sx="102000" sy="102000" algn="ctr" rotWithShape="0">
              <a:prstClr val="black">
                <a:alpha val="20000"/>
              </a:prstClr>
            </a:outerShdw>
          </a:effectLst>
        </c:spPr>
      </c:pivotFmt>
      <c:pivotFmt>
        <c:idx val="4"/>
        <c:spPr>
          <a:solidFill>
            <a:schemeClr val="accent1">
              <a:tint val="58000"/>
            </a:schemeClr>
          </a:solidFill>
          <a:ln>
            <a:noFill/>
          </a:ln>
          <a:effectLst>
            <a:outerShdw blurRad="254000" sx="102000" sy="102000" algn="ctr" rotWithShape="0">
              <a:prstClr val="black">
                <a:alpha val="20000"/>
              </a:prstClr>
            </a:outerShdw>
          </a:effectLst>
        </c:spPr>
      </c:pivotFmt>
      <c:pivotFmt>
        <c:idx val="5"/>
      </c:pivotFmt>
    </c:pivotFmts>
    <c:plotArea>
      <c:layout/>
      <c:pieChart>
        <c:varyColors val="1"/>
        <c:ser>
          <c:idx val="0"/>
          <c:order val="0"/>
          <c:tx>
            <c:strRef>
              <c:f>Dashboard!$N$18</c:f>
              <c:strCache>
                <c:ptCount val="1"/>
                <c:pt idx="0">
                  <c:v>Total</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64-114D-82B8-D7DB6F4CF981}"/>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64-114D-82B8-D7DB6F4CF981}"/>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64-114D-82B8-D7DB6F4CF981}"/>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464-114D-82B8-D7DB6F4CF981}"/>
              </c:ext>
            </c:extLst>
          </c:dPt>
          <c:dPt>
            <c:idx val="4"/>
            <c:bubble3D val="0"/>
            <c:spPr>
              <a:solidFill>
                <a:schemeClr val="accent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464-114D-82B8-D7DB6F4CF9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Dashboard!$M$19:$M$23</c:f>
              <c:strCache>
                <c:ptCount val="4"/>
                <c:pt idx="0">
                  <c:v>Cancelled</c:v>
                </c:pt>
                <c:pt idx="1">
                  <c:v>Completed</c:v>
                </c:pt>
                <c:pt idx="2">
                  <c:v>Pending</c:v>
                </c:pt>
                <c:pt idx="3">
                  <c:v>Released</c:v>
                </c:pt>
              </c:strCache>
            </c:strRef>
          </c:cat>
          <c:val>
            <c:numRef>
              <c:f>Dashboard!$N$19:$N$23</c:f>
              <c:numCache>
                <c:formatCode>General</c:formatCode>
                <c:ptCount val="4"/>
                <c:pt idx="0">
                  <c:v>2</c:v>
                </c:pt>
                <c:pt idx="1">
                  <c:v>1</c:v>
                </c:pt>
                <c:pt idx="2">
                  <c:v>5</c:v>
                </c:pt>
                <c:pt idx="3">
                  <c:v>3</c:v>
                </c:pt>
              </c:numCache>
            </c:numRef>
          </c:val>
          <c:extLst>
            <c:ext xmlns:c16="http://schemas.microsoft.com/office/drawing/2014/chart" uri="{C3380CC4-5D6E-409C-BE32-E72D297353CC}">
              <c16:uniqueId val="{00000000-DA32-4C41-A68A-4F04D07A0C1D}"/>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[MRP Simulator Project.xlsx]Dashboard!PivotTable5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Inventory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Dashboard!$T$17</c:f>
              <c:strCache>
                <c:ptCount val="1"/>
                <c:pt idx="0">
                  <c:v>Total</c:v>
                </c:pt>
              </c:strCache>
            </c:strRef>
          </c:tx>
          <c:dPt>
            <c:idx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95-C648-B049-3ADF7DD69D7D}"/>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95-C648-B049-3ADF7DD69D7D}"/>
              </c:ext>
            </c:extLst>
          </c:dPt>
          <c:dPt>
            <c:idx val="2"/>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F95-C648-B049-3ADF7DD69D7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Dashboard!$S$18:$S$21</c:f>
              <c:strCache>
                <c:ptCount val="3"/>
                <c:pt idx="0">
                  <c:v>Healthy</c:v>
                </c:pt>
                <c:pt idx="1">
                  <c:v>Low Stock</c:v>
                </c:pt>
                <c:pt idx="2">
                  <c:v>Out of Stock</c:v>
                </c:pt>
              </c:strCache>
            </c:strRef>
          </c:cat>
          <c:val>
            <c:numRef>
              <c:f>Dashboard!$T$18:$T$21</c:f>
              <c:numCache>
                <c:formatCode>General</c:formatCode>
                <c:ptCount val="3"/>
                <c:pt idx="0">
                  <c:v>64</c:v>
                </c:pt>
                <c:pt idx="1">
                  <c:v>14</c:v>
                </c:pt>
                <c:pt idx="2">
                  <c:v>7</c:v>
                </c:pt>
              </c:numCache>
            </c:numRef>
          </c:val>
          <c:extLst>
            <c:ext xmlns:c16="http://schemas.microsoft.com/office/drawing/2014/chart" uri="{C3380CC4-5D6E-409C-BE32-E72D297353CC}">
              <c16:uniqueId val="{00000000-DB10-F743-BDAC-A6C1062D07E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[MRP Simulator Project.xlsx]Dashboard!PivotTable4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Items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Dashboard!$H$19:$H$23</c:f>
              <c:strCache>
                <c:ptCount val="4"/>
                <c:pt idx="0">
                  <c:v>0</c:v>
                </c:pt>
                <c:pt idx="1">
                  <c:v>1</c:v>
                </c:pt>
                <c:pt idx="2">
                  <c:v>2</c:v>
                </c:pt>
                <c:pt idx="3">
                  <c:v>3</c:v>
                </c:pt>
              </c:strCache>
            </c:strRef>
          </c:cat>
          <c:val>
            <c:numRef>
              <c:f>Dashboard!$I$19:$I$23</c:f>
              <c:numCache>
                <c:formatCode>General</c:formatCode>
                <c:ptCount val="4"/>
                <c:pt idx="0">
                  <c:v>1</c:v>
                </c:pt>
                <c:pt idx="1">
                  <c:v>4</c:v>
                </c:pt>
                <c:pt idx="2">
                  <c:v>23</c:v>
                </c:pt>
                <c:pt idx="3">
                  <c:v>57</c:v>
                </c:pt>
              </c:numCache>
            </c:numRef>
          </c:val>
          <c:extLst>
            <c:ext xmlns:c16="http://schemas.microsoft.com/office/drawing/2014/chart" uri="{C3380CC4-5D6E-409C-BE32-E72D297353CC}">
              <c16:uniqueId val="{00000000-BCA0-AE44-8417-5CEA31E2A02F}"/>
            </c:ext>
          </c:extLst>
        </c:ser>
        <c:dLbls>
          <c:dLblPos val="inEnd"/>
          <c:showLegendKey val="0"/>
          <c:showVal val="1"/>
          <c:showCatName val="0"/>
          <c:showSerName val="0"/>
          <c:showPercent val="0"/>
          <c:showBubbleSize val="0"/>
        </c:dLbls>
        <c:gapWidth val="65"/>
        <c:axId val="1507211263"/>
        <c:axId val="1507209023"/>
      </c:barChart>
      <c:catAx>
        <c:axId val="15072112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7209023"/>
        <c:crosses val="autoZero"/>
        <c:auto val="1"/>
        <c:lblAlgn val="ctr"/>
        <c:lblOffset val="100"/>
        <c:noMultiLvlLbl val="0"/>
      </c:catAx>
      <c:valAx>
        <c:axId val="15072090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072112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85090</xdr:colOff>
      <xdr:row>14</xdr:row>
      <xdr:rowOff>6350</xdr:rowOff>
    </xdr:from>
    <xdr:to>
      <xdr:col>5</xdr:col>
      <xdr:colOff>762000</xdr:colOff>
      <xdr:row>24</xdr:row>
      <xdr:rowOff>0</xdr:rowOff>
    </xdr:to>
    <xdr:graphicFrame macro="">
      <xdr:nvGraphicFramePr>
        <xdr:cNvPr id="3" name="Chart 2">
          <a:extLst>
            <a:ext uri="{FF2B5EF4-FFF2-40B4-BE49-F238E27FC236}">
              <a16:creationId xmlns:a16="http://schemas.microsoft.com/office/drawing/2014/main" id="{5F48DAEB-C4A9-1013-1B19-0FAB47F65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86424</xdr:colOff>
      <xdr:row>14</xdr:row>
      <xdr:rowOff>1</xdr:rowOff>
    </xdr:from>
    <xdr:to>
      <xdr:col>15</xdr:col>
      <xdr:colOff>764477</xdr:colOff>
      <xdr:row>24</xdr:row>
      <xdr:rowOff>12701</xdr:rowOff>
    </xdr:to>
    <xdr:graphicFrame macro="">
      <xdr:nvGraphicFramePr>
        <xdr:cNvPr id="6" name="Chart 5">
          <a:extLst>
            <a:ext uri="{FF2B5EF4-FFF2-40B4-BE49-F238E27FC236}">
              <a16:creationId xmlns:a16="http://schemas.microsoft.com/office/drawing/2014/main" id="{753A9B2A-16E2-E516-0395-6E643CED7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86424</xdr:colOff>
      <xdr:row>14</xdr:row>
      <xdr:rowOff>0</xdr:rowOff>
    </xdr:from>
    <xdr:to>
      <xdr:col>20</xdr:col>
      <xdr:colOff>764477</xdr:colOff>
      <xdr:row>24</xdr:row>
      <xdr:rowOff>0</xdr:rowOff>
    </xdr:to>
    <xdr:graphicFrame macro="">
      <xdr:nvGraphicFramePr>
        <xdr:cNvPr id="7" name="Chart 6">
          <a:extLst>
            <a:ext uri="{FF2B5EF4-FFF2-40B4-BE49-F238E27FC236}">
              <a16:creationId xmlns:a16="http://schemas.microsoft.com/office/drawing/2014/main" id="{12A38E30-FD1C-AA4C-2F0F-35584EC23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425727</xdr:colOff>
      <xdr:row>25</xdr:row>
      <xdr:rowOff>71230</xdr:rowOff>
    </xdr:from>
    <xdr:to>
      <xdr:col>14</xdr:col>
      <xdr:colOff>587881</xdr:colOff>
      <xdr:row>32</xdr:row>
      <xdr:rowOff>118533</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0E25595D-2062-F537-8D8A-AD1437490DE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0382527" y="5693097"/>
              <a:ext cx="1821621" cy="14697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301489</xdr:colOff>
      <xdr:row>25</xdr:row>
      <xdr:rowOff>71231</xdr:rowOff>
    </xdr:from>
    <xdr:to>
      <xdr:col>19</xdr:col>
      <xdr:colOff>473768</xdr:colOff>
      <xdr:row>32</xdr:row>
      <xdr:rowOff>118533</xdr:rowOff>
    </xdr:to>
    <mc:AlternateContent xmlns:mc="http://schemas.openxmlformats.org/markup-compatibility/2006" xmlns:a14="http://schemas.microsoft.com/office/drawing/2010/main">
      <mc:Choice Requires="a14">
        <xdr:graphicFrame macro="">
          <xdr:nvGraphicFramePr>
            <xdr:cNvPr id="5" name="inventory_status">
              <a:extLst>
                <a:ext uri="{FF2B5EF4-FFF2-40B4-BE49-F238E27FC236}">
                  <a16:creationId xmlns:a16="http://schemas.microsoft.com/office/drawing/2014/main" id="{44B47A65-025B-8E63-EADC-56156115EB07}"/>
                </a:ext>
              </a:extLst>
            </xdr:cNvPr>
            <xdr:cNvGraphicFramePr/>
          </xdr:nvGraphicFramePr>
          <xdr:xfrm>
            <a:off x="0" y="0"/>
            <a:ext cx="0" cy="0"/>
          </xdr:xfrm>
          <a:graphic>
            <a:graphicData uri="http://schemas.microsoft.com/office/drawing/2010/slicer">
              <sle:slicer xmlns:sle="http://schemas.microsoft.com/office/drawing/2010/slicer" name="inventory_status"/>
            </a:graphicData>
          </a:graphic>
        </xdr:graphicFrame>
      </mc:Choice>
      <mc:Fallback xmlns="">
        <xdr:sp macro="" textlink="">
          <xdr:nvSpPr>
            <xdr:cNvPr id="0" name=""/>
            <xdr:cNvSpPr>
              <a:spLocks noTextEdit="1"/>
            </xdr:cNvSpPr>
          </xdr:nvSpPr>
          <xdr:spPr>
            <a:xfrm>
              <a:off x="14406956" y="5693098"/>
              <a:ext cx="1831745" cy="14697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76200</xdr:colOff>
      <xdr:row>14</xdr:row>
      <xdr:rowOff>0</xdr:rowOff>
    </xdr:from>
    <xdr:to>
      <xdr:col>10</xdr:col>
      <xdr:colOff>762000</xdr:colOff>
      <xdr:row>24</xdr:row>
      <xdr:rowOff>0</xdr:rowOff>
    </xdr:to>
    <xdr:graphicFrame macro="">
      <xdr:nvGraphicFramePr>
        <xdr:cNvPr id="8" name="Chart 7">
          <a:extLst>
            <a:ext uri="{FF2B5EF4-FFF2-40B4-BE49-F238E27FC236}">
              <a16:creationId xmlns:a16="http://schemas.microsoft.com/office/drawing/2014/main" id="{3010B013-33A8-4E91-25D2-7786702FE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406400</xdr:colOff>
      <xdr:row>25</xdr:row>
      <xdr:rowOff>67733</xdr:rowOff>
    </xdr:from>
    <xdr:to>
      <xdr:col>9</xdr:col>
      <xdr:colOff>575733</xdr:colOff>
      <xdr:row>32</xdr:row>
      <xdr:rowOff>135466</xdr:rowOff>
    </xdr:to>
    <mc:AlternateContent xmlns:mc="http://schemas.openxmlformats.org/markup-compatibility/2006" xmlns:a14="http://schemas.microsoft.com/office/drawing/2010/main">
      <mc:Choice Requires="a14">
        <xdr:graphicFrame macro="">
          <xdr:nvGraphicFramePr>
            <xdr:cNvPr id="9" name="item_level">
              <a:extLst>
                <a:ext uri="{FF2B5EF4-FFF2-40B4-BE49-F238E27FC236}">
                  <a16:creationId xmlns:a16="http://schemas.microsoft.com/office/drawing/2014/main" id="{5E174996-122B-E449-984F-3AD8D017E286}"/>
                </a:ext>
              </a:extLst>
            </xdr:cNvPr>
            <xdr:cNvGraphicFramePr/>
          </xdr:nvGraphicFramePr>
          <xdr:xfrm>
            <a:off x="0" y="0"/>
            <a:ext cx="0" cy="0"/>
          </xdr:xfrm>
          <a:graphic>
            <a:graphicData uri="http://schemas.microsoft.com/office/drawing/2010/slicer">
              <sle:slicer xmlns:sle="http://schemas.microsoft.com/office/drawing/2010/slicer" name="item_level"/>
            </a:graphicData>
          </a:graphic>
        </xdr:graphicFrame>
      </mc:Choice>
      <mc:Fallback xmlns="">
        <xdr:sp macro="" textlink="">
          <xdr:nvSpPr>
            <xdr:cNvPr id="0" name=""/>
            <xdr:cNvSpPr>
              <a:spLocks noTextEdit="1"/>
            </xdr:cNvSpPr>
          </xdr:nvSpPr>
          <xdr:spPr>
            <a:xfrm>
              <a:off x="6214533" y="5689600"/>
              <a:ext cx="1828800" cy="152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ingh" refreshedDate="46225.518577430557" createdVersion="8" refreshedVersion="8" minRefreshableVersion="3" recordCount="85" xr:uid="{FEDA057F-FA48-524A-946E-6BAA177E36F3}">
  <cacheSource type="worksheet">
    <worksheetSource name="tblInventory"/>
  </cacheSource>
  <cacheFields count="7">
    <cacheField name="item_id" numFmtId="0">
      <sharedItems containsSemiMixedTypes="0" containsString="0" containsNumber="1" containsInteger="1" minValue="1" maxValue="85"/>
    </cacheField>
    <cacheField name="quantity_on_hand" numFmtId="0">
      <sharedItems containsSemiMixedTypes="0" containsString="0" containsNumber="1" containsInteger="1" minValue="0" maxValue="10"/>
    </cacheField>
    <cacheField name="allocated_quantity" numFmtId="0">
      <sharedItems containsSemiMixedTypes="0" containsString="0" containsNumber="1" containsInteger="1" minValue="0" maxValue="2"/>
    </cacheField>
    <cacheField name="available_quantity" numFmtId="0">
      <sharedItems containsSemiMixedTypes="0" containsString="0" containsNumber="1" containsInteger="1" minValue="0" maxValue="8"/>
    </cacheField>
    <cacheField name="last_updated" numFmtId="47">
      <sharedItems containsSemiMixedTypes="0" containsNonDate="0" containsDate="1" containsString="0" minDate="2026-07-21T09:55:59" maxDate="2026-07-21T09:55:59"/>
    </cacheField>
    <cacheField name="inventory_status" numFmtId="0">
      <sharedItems count="3">
        <s v="Out of Stock"/>
        <s v="Low Stock"/>
        <s v="Healthy"/>
      </sharedItems>
    </cacheField>
    <cacheField name="item_name" numFmtId="0">
      <sharedItems count="85">
        <s v="Industrial Centrifugal Water Pump"/>
        <s v="Pump Assembly"/>
        <s v="Electric Motor Assembly"/>
        <s v="Base Frame Assembly"/>
        <s v="Packaging Assembly"/>
        <s v="Casing Assembly"/>
        <s v="Rotating Assembly"/>
        <s v="Mechanical Seal Assembly"/>
        <s v="Suction Flange"/>
        <s v="Discharge Flange"/>
        <s v="Motor Housing Assembly"/>
        <s v="Rotor Assembly"/>
        <s v="Stator Assembly"/>
        <s v="Cooling Fan Assembly"/>
        <s v="Terminal Box Assembly"/>
        <s v="Base Plate"/>
        <s v="Mounting Feet"/>
        <s v="Coupling Guard"/>
        <s v="Anti Vibration Pads"/>
        <s v="Anchor Bolts"/>
        <s v="Anchor Nuts"/>
        <s v="Flat Washers"/>
        <s v="Carton Box"/>
        <s v="Foam Inserts"/>
        <s v="Plastic Bag"/>
        <s v="User Manual"/>
        <s v="Warranty Card"/>
        <s v="Product Label"/>
        <s v="Pump Casing"/>
        <s v="Casing Cover"/>
        <s v="Wear Ring"/>
        <s v="Casing Gasket"/>
        <s v="Drain Plug"/>
        <s v="Hex Bolt M12"/>
        <s v="Hex Nut M12"/>
        <s v="Flat Washer"/>
        <s v="Spring Washer"/>
        <s v="Pump Shaft"/>
        <s v="Impeller"/>
        <s v="Front Bearing"/>
        <s v="Rear Bearing"/>
        <s v="Bearing Housing"/>
        <s v="Shaft Sleeve"/>
        <s v="Shaft Key"/>
        <s v="Bearing Lock Nut"/>
        <s v="Retaining Ring"/>
        <s v="Spacer Ring"/>
        <s v="Circlip"/>
        <s v="Rotating Seal Ring"/>
        <s v="Stationary Seal Ring"/>
        <s v="Spring"/>
        <s v="O-Ring"/>
        <s v="Seal Retainer"/>
        <s v="Drive Pin"/>
        <s v="Retaining Clip"/>
        <s v="Motor Housing"/>
        <s v="Fan Cover"/>
        <s v="Nameplate"/>
        <s v="Cable Gland"/>
        <s v="Mounting Bolt"/>
        <s v="Mounting Nut"/>
        <s v="Lock Washer"/>
        <s v="Rotor Shaft"/>
        <s v="Rotor Core"/>
        <s v="Copper Bars"/>
        <s v="End Rings"/>
        <s v="Rotor Retaining Ring"/>
        <s v="Balancing Weight"/>
        <s v="Stator Core"/>
        <s v="Copper Windings"/>
        <s v="Insulation Paper"/>
        <s v="Slot Wedges"/>
        <s v="Terminal Leads"/>
        <s v="Insulating Sleeves"/>
        <s v="Cable Ties"/>
        <s v="Varnish Pack"/>
        <s v="Cooling Fan"/>
        <s v="Fan Hub"/>
        <s v="Set Screw"/>
        <s v="Terminal Box"/>
        <s v="Terminal Block"/>
        <s v="Terminal Cover"/>
        <s v="Terminal Screw"/>
        <s v="Terminal Nut"/>
        <s v="Cable Clamp"/>
      </sharedItems>
    </cacheField>
  </cacheFields>
  <extLst>
    <ext xmlns:x14="http://schemas.microsoft.com/office/spreadsheetml/2009/9/main" uri="{725AE2AE-9491-48be-B2B4-4EB974FC3084}">
      <x14:pivotCacheDefinition pivotCacheId="9715379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ingh" refreshedDate="46225.518577546296" createdVersion="8" refreshedVersion="8" minRefreshableVersion="3" recordCount="21" xr:uid="{CF56370E-4217-244C-8E94-BA2663EB8551}">
  <cacheSource type="worksheet">
    <worksheetSource name="tblCustomerOrders"/>
  </cacheSource>
  <cacheFields count="7">
    <cacheField name="customer_order_id" numFmtId="0">
      <sharedItems containsString="0" containsBlank="1" containsNumber="1" containsInteger="1" minValue="1" maxValue="11"/>
    </cacheField>
    <cacheField name="customer_name" numFmtId="0">
      <sharedItems containsBlank="1"/>
    </cacheField>
    <cacheField name="item_id" numFmtId="0">
      <sharedItems containsString="0" containsBlank="1" containsNumber="1" containsInteger="1" minValue="1" maxValue="1"/>
    </cacheField>
    <cacheField name="order_quantity" numFmtId="0">
      <sharedItems containsString="0" containsBlank="1" containsNumber="1" containsInteger="1" minValue="2" maxValue="9"/>
    </cacheField>
    <cacheField name="order_date" numFmtId="14">
      <sharedItems containsNonDate="0" containsDate="1" containsString="0" containsBlank="1" minDate="2026-08-01T00:00:00" maxDate="2026-08-16T00:00:00"/>
    </cacheField>
    <cacheField name="due_date" numFmtId="14">
      <sharedItems containsNonDate="0" containsDate="1" containsString="0" containsBlank="1" minDate="2026-08-10T00:00:00" maxDate="2026-08-26T00:00:00"/>
    </cacheField>
    <cacheField name="order_status" numFmtId="0">
      <sharedItems containsBlank="1" count="5">
        <s v="Pending"/>
        <s v="Released"/>
        <s v="Completed"/>
        <s v="Cancelled"/>
        <m/>
      </sharedItems>
    </cacheField>
  </cacheFields>
  <extLst>
    <ext xmlns:x14="http://schemas.microsoft.com/office/spreadsheetml/2009/9/main" uri="{725AE2AE-9491-48be-B2B4-4EB974FC3084}">
      <x14:pivotCacheDefinition pivotCacheId="10889992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ingh" refreshedDate="46225.542671527779" createdVersion="8" refreshedVersion="8" minRefreshableVersion="3" recordCount="85" xr:uid="{D58F87C4-871B-4744-B081-C435043F61EC}">
  <cacheSource type="worksheet">
    <worksheetSource name="tblItems"/>
  </cacheSource>
  <cacheFields count="8">
    <cacheField name="item_id" numFmtId="0">
      <sharedItems containsSemiMixedTypes="0" containsString="0" containsNumber="1" containsInteger="1" minValue="1" maxValue="85" count="8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sharedItems>
    </cacheField>
    <cacheField name="item_name" numFmtId="0">
      <sharedItems/>
    </cacheField>
    <cacheField name="item_level" numFmtId="0">
      <sharedItems containsSemiMixedTypes="0" containsString="0" containsNumber="1" containsInteger="1" minValue="0" maxValue="3" count="4">
        <n v="0"/>
        <n v="1"/>
        <n v="2"/>
        <n v="3"/>
      </sharedItems>
    </cacheField>
    <cacheField name="item_category" numFmtId="0">
      <sharedItems/>
    </cacheField>
    <cacheField name="procurement_type" numFmtId="0">
      <sharedItems/>
    </cacheField>
    <cacheField name="supplier_id" numFmtId="0">
      <sharedItems containsMixedTypes="1" containsNumber="1" containsInteger="1" minValue="1" maxValue="10"/>
    </cacheField>
    <cacheField name="unit_of_measure" numFmtId="0">
      <sharedItems/>
    </cacheField>
    <cacheField name="is_active" numFmtId="0">
      <sharedItems/>
    </cacheField>
  </cacheFields>
  <extLst>
    <ext xmlns:x14="http://schemas.microsoft.com/office/spreadsheetml/2009/9/main" uri="{725AE2AE-9491-48be-B2B4-4EB974FC3084}">
      <x14:pivotCacheDefinition pivotCacheId="298482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n v="1"/>
    <n v="0"/>
    <n v="0"/>
    <n v="0"/>
    <d v="2026-07-21T09:55:59"/>
    <x v="0"/>
    <x v="0"/>
  </r>
  <r>
    <n v="2"/>
    <n v="0"/>
    <n v="0"/>
    <n v="0"/>
    <d v="2026-07-21T09:55:59"/>
    <x v="0"/>
    <x v="1"/>
  </r>
  <r>
    <n v="3"/>
    <n v="0"/>
    <n v="0"/>
    <n v="0"/>
    <d v="2026-07-21T09:55:59"/>
    <x v="0"/>
    <x v="2"/>
  </r>
  <r>
    <n v="4"/>
    <n v="0"/>
    <n v="0"/>
    <n v="0"/>
    <d v="2026-07-21T09:55:59"/>
    <x v="0"/>
    <x v="3"/>
  </r>
  <r>
    <n v="5"/>
    <n v="0"/>
    <n v="0"/>
    <n v="0"/>
    <d v="2026-07-21T09:55:59"/>
    <x v="0"/>
    <x v="4"/>
  </r>
  <r>
    <n v="6"/>
    <n v="1"/>
    <n v="0"/>
    <n v="1"/>
    <d v="2026-07-21T09:55:59"/>
    <x v="1"/>
    <x v="5"/>
  </r>
  <r>
    <n v="7"/>
    <n v="0"/>
    <n v="0"/>
    <n v="0"/>
    <d v="2026-07-21T09:55:59"/>
    <x v="0"/>
    <x v="6"/>
  </r>
  <r>
    <n v="8"/>
    <n v="2"/>
    <n v="0"/>
    <n v="2"/>
    <d v="2026-07-21T09:55:59"/>
    <x v="1"/>
    <x v="7"/>
  </r>
  <r>
    <n v="9"/>
    <n v="5"/>
    <n v="1"/>
    <n v="4"/>
    <d v="2026-07-21T09:55:59"/>
    <x v="2"/>
    <x v="8"/>
  </r>
  <r>
    <n v="10"/>
    <n v="4"/>
    <n v="1"/>
    <n v="3"/>
    <d v="2026-07-21T09:55:59"/>
    <x v="2"/>
    <x v="9"/>
  </r>
  <r>
    <n v="11"/>
    <n v="1"/>
    <n v="0"/>
    <n v="1"/>
    <d v="2026-07-21T09:55:59"/>
    <x v="1"/>
    <x v="10"/>
  </r>
  <r>
    <n v="12"/>
    <n v="0"/>
    <n v="0"/>
    <n v="0"/>
    <d v="2026-07-21T09:55:59"/>
    <x v="0"/>
    <x v="11"/>
  </r>
  <r>
    <n v="13"/>
    <n v="1"/>
    <n v="0"/>
    <n v="1"/>
    <d v="2026-07-21T09:55:59"/>
    <x v="1"/>
    <x v="12"/>
  </r>
  <r>
    <n v="14"/>
    <n v="2"/>
    <n v="0"/>
    <n v="2"/>
    <d v="2026-07-21T09:55:59"/>
    <x v="1"/>
    <x v="13"/>
  </r>
  <r>
    <n v="15"/>
    <n v="1"/>
    <n v="0"/>
    <n v="1"/>
    <d v="2026-07-21T09:55:59"/>
    <x v="1"/>
    <x v="14"/>
  </r>
  <r>
    <n v="16"/>
    <n v="5"/>
    <n v="1"/>
    <n v="4"/>
    <d v="2026-07-21T09:55:59"/>
    <x v="2"/>
    <x v="15"/>
  </r>
  <r>
    <n v="17"/>
    <n v="6"/>
    <n v="1"/>
    <n v="5"/>
    <d v="2026-07-21T09:55:59"/>
    <x v="2"/>
    <x v="16"/>
  </r>
  <r>
    <n v="18"/>
    <n v="4"/>
    <n v="1"/>
    <n v="3"/>
    <d v="2026-07-21T09:55:59"/>
    <x v="2"/>
    <x v="17"/>
  </r>
  <r>
    <n v="19"/>
    <n v="5"/>
    <n v="1"/>
    <n v="4"/>
    <d v="2026-07-21T09:55:59"/>
    <x v="2"/>
    <x v="18"/>
  </r>
  <r>
    <n v="20"/>
    <n v="10"/>
    <n v="2"/>
    <n v="8"/>
    <d v="2026-07-21T09:55:59"/>
    <x v="2"/>
    <x v="19"/>
  </r>
  <r>
    <n v="21"/>
    <n v="10"/>
    <n v="2"/>
    <n v="8"/>
    <d v="2026-07-21T09:55:59"/>
    <x v="2"/>
    <x v="20"/>
  </r>
  <r>
    <n v="22"/>
    <n v="10"/>
    <n v="2"/>
    <n v="8"/>
    <d v="2026-07-21T09:55:59"/>
    <x v="2"/>
    <x v="21"/>
  </r>
  <r>
    <n v="23"/>
    <n v="5"/>
    <n v="1"/>
    <n v="4"/>
    <d v="2026-07-21T09:55:59"/>
    <x v="2"/>
    <x v="22"/>
  </r>
  <r>
    <n v="24"/>
    <n v="6"/>
    <n v="1"/>
    <n v="5"/>
    <d v="2026-07-21T09:55:59"/>
    <x v="2"/>
    <x v="23"/>
  </r>
  <r>
    <n v="25"/>
    <n v="5"/>
    <n v="1"/>
    <n v="4"/>
    <d v="2026-07-21T09:55:59"/>
    <x v="2"/>
    <x v="24"/>
  </r>
  <r>
    <n v="26"/>
    <n v="8"/>
    <n v="0"/>
    <n v="8"/>
    <d v="2026-07-21T09:55:59"/>
    <x v="2"/>
    <x v="25"/>
  </r>
  <r>
    <n v="27"/>
    <n v="8"/>
    <n v="0"/>
    <n v="8"/>
    <d v="2026-07-21T09:55:59"/>
    <x v="2"/>
    <x v="26"/>
  </r>
  <r>
    <n v="28"/>
    <n v="8"/>
    <n v="0"/>
    <n v="8"/>
    <d v="2026-07-21T09:55:59"/>
    <x v="2"/>
    <x v="27"/>
  </r>
  <r>
    <n v="29"/>
    <n v="3"/>
    <n v="0"/>
    <n v="3"/>
    <d v="2026-07-21T09:55:59"/>
    <x v="2"/>
    <x v="28"/>
  </r>
  <r>
    <n v="30"/>
    <n v="2"/>
    <n v="0"/>
    <n v="2"/>
    <d v="2026-07-21T09:55:59"/>
    <x v="1"/>
    <x v="29"/>
  </r>
  <r>
    <n v="31"/>
    <n v="4"/>
    <n v="1"/>
    <n v="3"/>
    <d v="2026-07-21T09:55:59"/>
    <x v="2"/>
    <x v="30"/>
  </r>
  <r>
    <n v="32"/>
    <n v="6"/>
    <n v="1"/>
    <n v="5"/>
    <d v="2026-07-21T09:55:59"/>
    <x v="2"/>
    <x v="31"/>
  </r>
  <r>
    <n v="33"/>
    <n v="5"/>
    <n v="1"/>
    <n v="4"/>
    <d v="2026-07-21T09:55:59"/>
    <x v="2"/>
    <x v="32"/>
  </r>
  <r>
    <n v="34"/>
    <n v="10"/>
    <n v="2"/>
    <n v="8"/>
    <d v="2026-07-21T09:55:59"/>
    <x v="2"/>
    <x v="33"/>
  </r>
  <r>
    <n v="35"/>
    <n v="10"/>
    <n v="2"/>
    <n v="8"/>
    <d v="2026-07-21T09:55:59"/>
    <x v="2"/>
    <x v="34"/>
  </r>
  <r>
    <n v="36"/>
    <n v="10"/>
    <n v="2"/>
    <n v="8"/>
    <d v="2026-07-21T09:55:59"/>
    <x v="2"/>
    <x v="35"/>
  </r>
  <r>
    <n v="37"/>
    <n v="10"/>
    <n v="2"/>
    <n v="8"/>
    <d v="2026-07-21T09:55:59"/>
    <x v="2"/>
    <x v="36"/>
  </r>
  <r>
    <n v="38"/>
    <n v="2"/>
    <n v="0"/>
    <n v="2"/>
    <d v="2026-07-21T09:55:59"/>
    <x v="1"/>
    <x v="37"/>
  </r>
  <r>
    <n v="39"/>
    <n v="3"/>
    <n v="0"/>
    <n v="3"/>
    <d v="2026-07-21T09:55:59"/>
    <x v="2"/>
    <x v="38"/>
  </r>
  <r>
    <n v="40"/>
    <n v="4"/>
    <n v="1"/>
    <n v="3"/>
    <d v="2026-07-21T09:55:59"/>
    <x v="2"/>
    <x v="39"/>
  </r>
  <r>
    <n v="41"/>
    <n v="2"/>
    <n v="0"/>
    <n v="2"/>
    <d v="2026-07-21T09:55:59"/>
    <x v="1"/>
    <x v="40"/>
  </r>
  <r>
    <n v="42"/>
    <n v="2"/>
    <n v="0"/>
    <n v="2"/>
    <d v="2026-07-21T09:55:59"/>
    <x v="1"/>
    <x v="41"/>
  </r>
  <r>
    <n v="43"/>
    <n v="4"/>
    <n v="1"/>
    <n v="3"/>
    <d v="2026-07-21T09:55:59"/>
    <x v="2"/>
    <x v="42"/>
  </r>
  <r>
    <n v="44"/>
    <n v="6"/>
    <n v="1"/>
    <n v="5"/>
    <d v="2026-07-21T09:55:59"/>
    <x v="2"/>
    <x v="43"/>
  </r>
  <r>
    <n v="45"/>
    <n v="5"/>
    <n v="1"/>
    <n v="4"/>
    <d v="2026-07-21T09:55:59"/>
    <x v="2"/>
    <x v="44"/>
  </r>
  <r>
    <n v="46"/>
    <n v="6"/>
    <n v="1"/>
    <n v="5"/>
    <d v="2026-07-21T09:55:59"/>
    <x v="2"/>
    <x v="45"/>
  </r>
  <r>
    <n v="47"/>
    <n v="5"/>
    <n v="1"/>
    <n v="4"/>
    <d v="2026-07-21T09:55:59"/>
    <x v="2"/>
    <x v="46"/>
  </r>
  <r>
    <n v="48"/>
    <n v="6"/>
    <n v="1"/>
    <n v="5"/>
    <d v="2026-07-21T09:55:59"/>
    <x v="2"/>
    <x v="47"/>
  </r>
  <r>
    <n v="49"/>
    <n v="4"/>
    <n v="1"/>
    <n v="3"/>
    <d v="2026-07-21T09:55:59"/>
    <x v="2"/>
    <x v="48"/>
  </r>
  <r>
    <n v="50"/>
    <n v="4"/>
    <n v="1"/>
    <n v="3"/>
    <d v="2026-07-21T09:55:59"/>
    <x v="2"/>
    <x v="49"/>
  </r>
  <r>
    <n v="51"/>
    <n v="6"/>
    <n v="1"/>
    <n v="5"/>
    <d v="2026-07-21T09:55:59"/>
    <x v="2"/>
    <x v="50"/>
  </r>
  <r>
    <n v="52"/>
    <n v="8"/>
    <n v="2"/>
    <n v="6"/>
    <d v="2026-07-21T09:55:59"/>
    <x v="2"/>
    <x v="51"/>
  </r>
  <r>
    <n v="53"/>
    <n v="4"/>
    <n v="1"/>
    <n v="3"/>
    <d v="2026-07-21T09:55:59"/>
    <x v="2"/>
    <x v="52"/>
  </r>
  <r>
    <n v="54"/>
    <n v="5"/>
    <n v="1"/>
    <n v="4"/>
    <d v="2026-07-21T09:55:59"/>
    <x v="2"/>
    <x v="53"/>
  </r>
  <r>
    <n v="55"/>
    <n v="5"/>
    <n v="1"/>
    <n v="4"/>
    <d v="2026-07-21T09:55:59"/>
    <x v="2"/>
    <x v="54"/>
  </r>
  <r>
    <n v="56"/>
    <n v="2"/>
    <n v="0"/>
    <n v="2"/>
    <d v="2026-07-21T09:55:59"/>
    <x v="1"/>
    <x v="55"/>
  </r>
  <r>
    <n v="57"/>
    <n v="3"/>
    <n v="0"/>
    <n v="3"/>
    <d v="2026-07-21T09:55:59"/>
    <x v="2"/>
    <x v="56"/>
  </r>
  <r>
    <n v="58"/>
    <n v="6"/>
    <n v="1"/>
    <n v="5"/>
    <d v="2026-07-21T09:55:59"/>
    <x v="2"/>
    <x v="57"/>
  </r>
  <r>
    <n v="59"/>
    <n v="5"/>
    <n v="1"/>
    <n v="4"/>
    <d v="2026-07-21T09:55:59"/>
    <x v="2"/>
    <x v="58"/>
  </r>
  <r>
    <n v="60"/>
    <n v="8"/>
    <n v="2"/>
    <n v="6"/>
    <d v="2026-07-21T09:55:59"/>
    <x v="2"/>
    <x v="59"/>
  </r>
  <r>
    <n v="61"/>
    <n v="8"/>
    <n v="2"/>
    <n v="6"/>
    <d v="2026-07-21T09:55:59"/>
    <x v="2"/>
    <x v="60"/>
  </r>
  <r>
    <n v="62"/>
    <n v="8"/>
    <n v="2"/>
    <n v="6"/>
    <d v="2026-07-21T09:55:59"/>
    <x v="2"/>
    <x v="61"/>
  </r>
  <r>
    <n v="63"/>
    <n v="2"/>
    <n v="0"/>
    <n v="2"/>
    <d v="2026-07-21T09:55:59"/>
    <x v="1"/>
    <x v="62"/>
  </r>
  <r>
    <n v="64"/>
    <n v="2"/>
    <n v="0"/>
    <n v="2"/>
    <d v="2026-07-21T09:55:59"/>
    <x v="1"/>
    <x v="63"/>
  </r>
  <r>
    <n v="65"/>
    <n v="8"/>
    <n v="2"/>
    <n v="6"/>
    <d v="2026-07-21T09:55:59"/>
    <x v="2"/>
    <x v="64"/>
  </r>
  <r>
    <n v="66"/>
    <n v="5"/>
    <n v="1"/>
    <n v="4"/>
    <d v="2026-07-21T09:55:59"/>
    <x v="2"/>
    <x v="65"/>
  </r>
  <r>
    <n v="67"/>
    <n v="5"/>
    <n v="1"/>
    <n v="4"/>
    <d v="2026-07-21T09:55:59"/>
    <x v="2"/>
    <x v="66"/>
  </r>
  <r>
    <n v="68"/>
    <n v="6"/>
    <n v="1"/>
    <n v="5"/>
    <d v="2026-07-21T09:55:59"/>
    <x v="2"/>
    <x v="67"/>
  </r>
  <r>
    <n v="69"/>
    <n v="2"/>
    <n v="0"/>
    <n v="2"/>
    <d v="2026-07-21T09:55:59"/>
    <x v="1"/>
    <x v="68"/>
  </r>
  <r>
    <n v="70"/>
    <n v="8"/>
    <n v="2"/>
    <n v="6"/>
    <d v="2026-07-21T09:55:59"/>
    <x v="2"/>
    <x v="69"/>
  </r>
  <r>
    <n v="71"/>
    <n v="10"/>
    <n v="2"/>
    <n v="8"/>
    <d v="2026-07-21T09:55:59"/>
    <x v="2"/>
    <x v="70"/>
  </r>
  <r>
    <n v="72"/>
    <n v="8"/>
    <n v="2"/>
    <n v="6"/>
    <d v="2026-07-21T09:55:59"/>
    <x v="2"/>
    <x v="71"/>
  </r>
  <r>
    <n v="73"/>
    <n v="6"/>
    <n v="1"/>
    <n v="5"/>
    <d v="2026-07-21T09:55:59"/>
    <x v="2"/>
    <x v="72"/>
  </r>
  <r>
    <n v="74"/>
    <n v="5"/>
    <n v="1"/>
    <n v="4"/>
    <d v="2026-07-21T09:55:59"/>
    <x v="2"/>
    <x v="73"/>
  </r>
  <r>
    <n v="75"/>
    <n v="6"/>
    <n v="1"/>
    <n v="5"/>
    <d v="2026-07-21T09:55:59"/>
    <x v="2"/>
    <x v="74"/>
  </r>
  <r>
    <n v="76"/>
    <n v="4"/>
    <n v="1"/>
    <n v="3"/>
    <d v="2026-07-21T09:55:59"/>
    <x v="2"/>
    <x v="75"/>
  </r>
  <r>
    <n v="77"/>
    <n v="4"/>
    <n v="1"/>
    <n v="3"/>
    <d v="2026-07-21T09:55:59"/>
    <x v="2"/>
    <x v="76"/>
  </r>
  <r>
    <n v="78"/>
    <n v="4"/>
    <n v="1"/>
    <n v="3"/>
    <d v="2026-07-21T09:55:59"/>
    <x v="2"/>
    <x v="77"/>
  </r>
  <r>
    <n v="79"/>
    <n v="6"/>
    <n v="1"/>
    <n v="5"/>
    <d v="2026-07-21T09:55:59"/>
    <x v="2"/>
    <x v="78"/>
  </r>
  <r>
    <n v="80"/>
    <n v="4"/>
    <n v="1"/>
    <n v="3"/>
    <d v="2026-07-21T09:55:59"/>
    <x v="2"/>
    <x v="79"/>
  </r>
  <r>
    <n v="81"/>
    <n v="5"/>
    <n v="1"/>
    <n v="4"/>
    <d v="2026-07-21T09:55:59"/>
    <x v="2"/>
    <x v="80"/>
  </r>
  <r>
    <n v="82"/>
    <n v="5"/>
    <n v="1"/>
    <n v="4"/>
    <d v="2026-07-21T09:55:59"/>
    <x v="2"/>
    <x v="81"/>
  </r>
  <r>
    <n v="83"/>
    <n v="8"/>
    <n v="2"/>
    <n v="6"/>
    <d v="2026-07-21T09:55:59"/>
    <x v="2"/>
    <x v="82"/>
  </r>
  <r>
    <n v="84"/>
    <n v="8"/>
    <n v="2"/>
    <n v="6"/>
    <d v="2026-07-21T09:55:59"/>
    <x v="2"/>
    <x v="83"/>
  </r>
  <r>
    <n v="85"/>
    <n v="5"/>
    <n v="1"/>
    <n v="4"/>
    <d v="2026-07-21T09:55:59"/>
    <x v="2"/>
    <x v="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n v="1"/>
    <s v="ABC Industries"/>
    <n v="1"/>
    <n v="5"/>
    <d v="2026-08-01T00:00:00"/>
    <d v="2026-08-10T00:00:00"/>
    <x v="0"/>
  </r>
  <r>
    <n v="2"/>
    <s v="Delta Manufacturing"/>
    <n v="1"/>
    <n v="3"/>
    <d v="2026-08-02T00:00:00"/>
    <d v="2026-08-12T00:00:00"/>
    <x v="1"/>
  </r>
  <r>
    <n v="3"/>
    <s v="HydroTech Solutions"/>
    <n v="1"/>
    <n v="8"/>
    <d v="2026-08-03T00:00:00"/>
    <d v="2026-08-15T00:00:00"/>
    <x v="0"/>
  </r>
  <r>
    <n v="4"/>
    <s v="Prime Engineering"/>
    <n v="1"/>
    <n v="2"/>
    <d v="2026-08-05T00:00:00"/>
    <d v="2026-08-13T00:00:00"/>
    <x v="2"/>
  </r>
  <r>
    <n v="5"/>
    <s v="Apex Pumps Ltd."/>
    <n v="1"/>
    <n v="6"/>
    <d v="2026-08-06T00:00:00"/>
    <d v="2026-08-18T00:00:00"/>
    <x v="0"/>
  </r>
  <r>
    <n v="6"/>
    <s v="Global Water Systems"/>
    <n v="1"/>
    <n v="4"/>
    <d v="2026-08-08T00:00:00"/>
    <d v="2026-08-17T00:00:00"/>
    <x v="1"/>
  </r>
  <r>
    <n v="7"/>
    <s v="Vertex Engineering"/>
    <n v="1"/>
    <n v="7"/>
    <d v="2026-08-09T00:00:00"/>
    <d v="2026-08-20T00:00:00"/>
    <x v="0"/>
  </r>
  <r>
    <n v="8"/>
    <s v="BlueRiver Industries"/>
    <n v="1"/>
    <n v="3"/>
    <d v="2026-08-10T00:00:00"/>
    <d v="2026-08-19T00:00:00"/>
    <x v="3"/>
  </r>
  <r>
    <n v="9"/>
    <s v="Metro Process Equipments"/>
    <n v="1"/>
    <n v="9"/>
    <d v="2026-08-11T00:00:00"/>
    <d v="2026-08-25T00:00:00"/>
    <x v="0"/>
  </r>
  <r>
    <n v="10"/>
    <s v="Nova Industrial Works"/>
    <n v="1"/>
    <n v="4"/>
    <d v="2026-08-12T00:00:00"/>
    <d v="2026-08-22T00:00:00"/>
    <x v="1"/>
  </r>
  <r>
    <n v="11"/>
    <s v="Hela Innovations"/>
    <n v="1"/>
    <n v="7"/>
    <d v="2026-08-15T00:00:00"/>
    <d v="2026-08-21T00:00:00"/>
    <x v="3"/>
  </r>
  <r>
    <m/>
    <m/>
    <m/>
    <m/>
    <m/>
    <m/>
    <x v="4"/>
  </r>
  <r>
    <m/>
    <m/>
    <m/>
    <m/>
    <m/>
    <m/>
    <x v="4"/>
  </r>
  <r>
    <m/>
    <m/>
    <m/>
    <m/>
    <m/>
    <m/>
    <x v="4"/>
  </r>
  <r>
    <m/>
    <m/>
    <m/>
    <m/>
    <m/>
    <m/>
    <x v="4"/>
  </r>
  <r>
    <m/>
    <m/>
    <m/>
    <m/>
    <m/>
    <m/>
    <x v="4"/>
  </r>
  <r>
    <m/>
    <m/>
    <m/>
    <m/>
    <m/>
    <m/>
    <x v="4"/>
  </r>
  <r>
    <m/>
    <m/>
    <m/>
    <m/>
    <m/>
    <m/>
    <x v="4"/>
  </r>
  <r>
    <m/>
    <m/>
    <m/>
    <m/>
    <m/>
    <m/>
    <x v="4"/>
  </r>
  <r>
    <m/>
    <m/>
    <m/>
    <m/>
    <m/>
    <m/>
    <x v="4"/>
  </r>
  <r>
    <m/>
    <m/>
    <m/>
    <m/>
    <m/>
    <m/>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s v="Industrial Centrifugal Water Pump"/>
    <x v="0"/>
    <s v="Finished Product"/>
    <s v="Manufactured"/>
    <s v="NULL"/>
    <s v="EA"/>
    <b v="1"/>
  </r>
  <r>
    <x v="1"/>
    <s v="Pump Assembly"/>
    <x v="1"/>
    <s v="Assembly"/>
    <s v="Manufactured"/>
    <s v="NULL"/>
    <s v="EA"/>
    <b v="1"/>
  </r>
  <r>
    <x v="2"/>
    <s v="Electric Motor Assembly"/>
    <x v="1"/>
    <s v="Assembly"/>
    <s v="Manufactured"/>
    <s v="NULL"/>
    <s v="EA"/>
    <b v="1"/>
  </r>
  <r>
    <x v="3"/>
    <s v="Base Frame Assembly"/>
    <x v="1"/>
    <s v="Assembly"/>
    <s v="Manufactured"/>
    <s v="NULL"/>
    <s v="EA"/>
    <b v="1"/>
  </r>
  <r>
    <x v="4"/>
    <s v="Packaging Assembly"/>
    <x v="1"/>
    <s v="Assembly"/>
    <s v="Manufactured"/>
    <s v="NULL"/>
    <s v="EA"/>
    <b v="1"/>
  </r>
  <r>
    <x v="5"/>
    <s v="Casing Assembly"/>
    <x v="2"/>
    <s v="Assembly"/>
    <s v="Manufactured"/>
    <s v="NULL"/>
    <s v="EA"/>
    <b v="1"/>
  </r>
  <r>
    <x v="6"/>
    <s v="Rotating Assembly"/>
    <x v="2"/>
    <s v="Assembly"/>
    <s v="Manufactured"/>
    <s v="NULL"/>
    <s v="EA"/>
    <b v="1"/>
  </r>
  <r>
    <x v="7"/>
    <s v="Mechanical Seal Assembly"/>
    <x v="2"/>
    <s v="Assembly"/>
    <s v="Manufactured"/>
    <s v="NULL"/>
    <s v="EA"/>
    <b v="1"/>
  </r>
  <r>
    <x v="8"/>
    <s v="Suction Flange"/>
    <x v="2"/>
    <s v="Component"/>
    <s v="Purchased"/>
    <n v="3"/>
    <s v="EA"/>
    <b v="1"/>
  </r>
  <r>
    <x v="9"/>
    <s v="Discharge Flange"/>
    <x v="2"/>
    <s v="Component"/>
    <s v="Purchased"/>
    <n v="3"/>
    <s v="EA"/>
    <b v="1"/>
  </r>
  <r>
    <x v="10"/>
    <s v="Motor Housing Assembly"/>
    <x v="2"/>
    <s v="Assembly"/>
    <s v="Manufactured"/>
    <s v="NULL"/>
    <s v="EA"/>
    <b v="1"/>
  </r>
  <r>
    <x v="11"/>
    <s v="Rotor Assembly"/>
    <x v="2"/>
    <s v="Assembly"/>
    <s v="Manufactured"/>
    <s v="NULL"/>
    <s v="EA"/>
    <b v="1"/>
  </r>
  <r>
    <x v="12"/>
    <s v="Stator Assembly"/>
    <x v="2"/>
    <s v="Assembly"/>
    <s v="Manufactured"/>
    <s v="NULL"/>
    <s v="EA"/>
    <b v="1"/>
  </r>
  <r>
    <x v="13"/>
    <s v="Cooling Fan Assembly"/>
    <x v="2"/>
    <s v="Assembly"/>
    <s v="Manufactured"/>
    <s v="NULL"/>
    <s v="EA"/>
    <b v="1"/>
  </r>
  <r>
    <x v="14"/>
    <s v="Terminal Box Assembly"/>
    <x v="2"/>
    <s v="Assembly"/>
    <s v="Manufactured"/>
    <s v="NULL"/>
    <s v="EA"/>
    <b v="1"/>
  </r>
  <r>
    <x v="15"/>
    <s v="Base Plate"/>
    <x v="2"/>
    <s v="Component"/>
    <s v="Purchased"/>
    <n v="4"/>
    <s v="EA"/>
    <b v="1"/>
  </r>
  <r>
    <x v="16"/>
    <s v="Mounting Feet"/>
    <x v="2"/>
    <s v="Component"/>
    <s v="Purchased"/>
    <n v="4"/>
    <s v="EA"/>
    <b v="1"/>
  </r>
  <r>
    <x v="17"/>
    <s v="Coupling Guard"/>
    <x v="2"/>
    <s v="Component"/>
    <s v="Purchased"/>
    <n v="4"/>
    <s v="EA"/>
    <b v="1"/>
  </r>
  <r>
    <x v="18"/>
    <s v="Anti Vibration Pads"/>
    <x v="2"/>
    <s v="Component"/>
    <s v="Purchased"/>
    <n v="2"/>
    <s v="EA"/>
    <b v="1"/>
  </r>
  <r>
    <x v="19"/>
    <s v="Anchor Bolts"/>
    <x v="2"/>
    <s v="Component"/>
    <s v="Purchased"/>
    <n v="8"/>
    <s v="EA"/>
    <b v="1"/>
  </r>
  <r>
    <x v="20"/>
    <s v="Anchor Nuts"/>
    <x v="2"/>
    <s v="Component"/>
    <s v="Purchased"/>
    <n v="8"/>
    <s v="EA"/>
    <b v="1"/>
  </r>
  <r>
    <x v="21"/>
    <s v="Flat Washers"/>
    <x v="2"/>
    <s v="Component"/>
    <s v="Purchased"/>
    <n v="8"/>
    <s v="EA"/>
    <b v="1"/>
  </r>
  <r>
    <x v="22"/>
    <s v="Carton Box"/>
    <x v="2"/>
    <s v="Component"/>
    <s v="Purchased"/>
    <n v="9"/>
    <s v="EA"/>
    <b v="1"/>
  </r>
  <r>
    <x v="23"/>
    <s v="Foam Inserts"/>
    <x v="2"/>
    <s v="Component"/>
    <s v="Purchased"/>
    <n v="9"/>
    <s v="EA"/>
    <b v="1"/>
  </r>
  <r>
    <x v="24"/>
    <s v="Plastic Bag"/>
    <x v="2"/>
    <s v="Component"/>
    <s v="Purchased"/>
    <n v="9"/>
    <s v="EA"/>
    <b v="1"/>
  </r>
  <r>
    <x v="25"/>
    <s v="User Manual"/>
    <x v="2"/>
    <s v="Component"/>
    <s v="Purchased"/>
    <n v="9"/>
    <s v="EA"/>
    <b v="1"/>
  </r>
  <r>
    <x v="26"/>
    <s v="Warranty Card"/>
    <x v="2"/>
    <s v="Component"/>
    <s v="Purchased"/>
    <n v="9"/>
    <s v="EA"/>
    <b v="1"/>
  </r>
  <r>
    <x v="27"/>
    <s v="Product Label"/>
    <x v="2"/>
    <s v="Component"/>
    <s v="Purchased"/>
    <n v="9"/>
    <s v="EA"/>
    <b v="1"/>
  </r>
  <r>
    <x v="28"/>
    <s v="Pump Casing"/>
    <x v="3"/>
    <s v="Component"/>
    <s v="Purchased"/>
    <n v="4"/>
    <s v="EA"/>
    <b v="1"/>
  </r>
  <r>
    <x v="29"/>
    <s v="Casing Cover"/>
    <x v="3"/>
    <s v="Component"/>
    <s v="Purchased"/>
    <n v="4"/>
    <s v="EA"/>
    <b v="1"/>
  </r>
  <r>
    <x v="30"/>
    <s v="Wear Ring"/>
    <x v="3"/>
    <s v="Component"/>
    <s v="Purchased"/>
    <n v="1"/>
    <s v="EA"/>
    <b v="1"/>
  </r>
  <r>
    <x v="31"/>
    <s v="Casing Gasket"/>
    <x v="3"/>
    <s v="Component"/>
    <s v="Purchased"/>
    <n v="7"/>
    <s v="EA"/>
    <b v="1"/>
  </r>
  <r>
    <x v="32"/>
    <s v="Drain Plug"/>
    <x v="3"/>
    <s v="Component"/>
    <s v="Purchased"/>
    <n v="3"/>
    <s v="EA"/>
    <b v="1"/>
  </r>
  <r>
    <x v="33"/>
    <s v="Hex Bolt M12"/>
    <x v="3"/>
    <s v="Component"/>
    <s v="Purchased"/>
    <n v="8"/>
    <s v="EA"/>
    <b v="1"/>
  </r>
  <r>
    <x v="34"/>
    <s v="Hex Nut M12"/>
    <x v="3"/>
    <s v="Component"/>
    <s v="Purchased"/>
    <n v="8"/>
    <s v="EA"/>
    <b v="1"/>
  </r>
  <r>
    <x v="35"/>
    <s v="Flat Washer"/>
    <x v="3"/>
    <s v="Component"/>
    <s v="Purchased"/>
    <n v="8"/>
    <s v="EA"/>
    <b v="1"/>
  </r>
  <r>
    <x v="36"/>
    <s v="Spring Washer"/>
    <x v="3"/>
    <s v="Component"/>
    <s v="Purchased"/>
    <n v="8"/>
    <s v="EA"/>
    <b v="1"/>
  </r>
  <r>
    <x v="37"/>
    <s v="Pump Shaft"/>
    <x v="3"/>
    <s v="Component"/>
    <s v="Purchased"/>
    <n v="4"/>
    <s v="EA"/>
    <b v="1"/>
  </r>
  <r>
    <x v="38"/>
    <s v="Impeller"/>
    <x v="3"/>
    <s v="Component"/>
    <s v="Purchased"/>
    <n v="4"/>
    <s v="EA"/>
    <b v="1"/>
  </r>
  <r>
    <x v="39"/>
    <s v="Front Bearing"/>
    <x v="3"/>
    <s v="Component"/>
    <s v="Purchased"/>
    <n v="1"/>
    <s v="EA"/>
    <b v="1"/>
  </r>
  <r>
    <x v="40"/>
    <s v="Rear Bearing"/>
    <x v="3"/>
    <s v="Component"/>
    <s v="Purchased"/>
    <n v="1"/>
    <s v="EA"/>
    <b v="1"/>
  </r>
  <r>
    <x v="41"/>
    <s v="Bearing Housing"/>
    <x v="3"/>
    <s v="Component"/>
    <s v="Purchased"/>
    <n v="4"/>
    <s v="EA"/>
    <b v="1"/>
  </r>
  <r>
    <x v="42"/>
    <s v="Shaft Sleeve"/>
    <x v="3"/>
    <s v="Component"/>
    <s v="Purchased"/>
    <n v="4"/>
    <s v="EA"/>
    <b v="1"/>
  </r>
  <r>
    <x v="43"/>
    <s v="Shaft Key"/>
    <x v="3"/>
    <s v="Component"/>
    <s v="Purchased"/>
    <n v="8"/>
    <s v="EA"/>
    <b v="1"/>
  </r>
  <r>
    <x v="44"/>
    <s v="Bearing Lock Nut"/>
    <x v="3"/>
    <s v="Component"/>
    <s v="Purchased"/>
    <n v="8"/>
    <s v="EA"/>
    <b v="1"/>
  </r>
  <r>
    <x v="45"/>
    <s v="Retaining Ring"/>
    <x v="3"/>
    <s v="Component"/>
    <s v="Purchased"/>
    <n v="8"/>
    <s v="EA"/>
    <b v="1"/>
  </r>
  <r>
    <x v="46"/>
    <s v="Spacer Ring"/>
    <x v="3"/>
    <s v="Component"/>
    <s v="Purchased"/>
    <n v="4"/>
    <s v="EA"/>
    <b v="1"/>
  </r>
  <r>
    <x v="47"/>
    <s v="Circlip"/>
    <x v="3"/>
    <s v="Component"/>
    <s v="Purchased"/>
    <n v="8"/>
    <s v="EA"/>
    <b v="1"/>
  </r>
  <r>
    <x v="48"/>
    <s v="Rotating Seal Ring"/>
    <x v="3"/>
    <s v="Component"/>
    <s v="Purchased"/>
    <n v="2"/>
    <s v="EA"/>
    <b v="1"/>
  </r>
  <r>
    <x v="49"/>
    <s v="Stationary Seal Ring"/>
    <x v="3"/>
    <s v="Component"/>
    <s v="Purchased"/>
    <n v="2"/>
    <s v="EA"/>
    <b v="1"/>
  </r>
  <r>
    <x v="50"/>
    <s v="Spring"/>
    <x v="3"/>
    <s v="Component"/>
    <s v="Purchased"/>
    <n v="8"/>
    <s v="EA"/>
    <b v="1"/>
  </r>
  <r>
    <x v="51"/>
    <s v="O-Ring"/>
    <x v="3"/>
    <s v="Component"/>
    <s v="Purchased"/>
    <n v="2"/>
    <s v="EA"/>
    <b v="1"/>
  </r>
  <r>
    <x v="52"/>
    <s v="Seal Retainer"/>
    <x v="3"/>
    <s v="Component"/>
    <s v="Purchased"/>
    <n v="2"/>
    <s v="EA"/>
    <b v="1"/>
  </r>
  <r>
    <x v="53"/>
    <s v="Drive Pin"/>
    <x v="3"/>
    <s v="Component"/>
    <s v="Purchased"/>
    <n v="8"/>
    <s v="EA"/>
    <b v="1"/>
  </r>
  <r>
    <x v="54"/>
    <s v="Retaining Clip"/>
    <x v="3"/>
    <s v="Component"/>
    <s v="Purchased"/>
    <n v="8"/>
    <s v="EA"/>
    <b v="1"/>
  </r>
  <r>
    <x v="55"/>
    <s v="Motor Housing"/>
    <x v="3"/>
    <s v="Component"/>
    <s v="Purchased"/>
    <n v="4"/>
    <s v="EA"/>
    <b v="1"/>
  </r>
  <r>
    <x v="56"/>
    <s v="Fan Cover"/>
    <x v="3"/>
    <s v="Component"/>
    <s v="Purchased"/>
    <n v="4"/>
    <s v="EA"/>
    <b v="1"/>
  </r>
  <r>
    <x v="57"/>
    <s v="Nameplate"/>
    <x v="3"/>
    <s v="Component"/>
    <s v="Purchased"/>
    <n v="9"/>
    <s v="EA"/>
    <b v="1"/>
  </r>
  <r>
    <x v="58"/>
    <s v="Cable Gland"/>
    <x v="3"/>
    <s v="Component"/>
    <s v="Purchased"/>
    <n v="10"/>
    <s v="EA"/>
    <b v="1"/>
  </r>
  <r>
    <x v="59"/>
    <s v="Mounting Bolt"/>
    <x v="3"/>
    <s v="Component"/>
    <s v="Purchased"/>
    <n v="8"/>
    <s v="EA"/>
    <b v="1"/>
  </r>
  <r>
    <x v="60"/>
    <s v="Mounting Nut"/>
    <x v="3"/>
    <s v="Component"/>
    <s v="Purchased"/>
    <n v="8"/>
    <s v="EA"/>
    <b v="1"/>
  </r>
  <r>
    <x v="61"/>
    <s v="Lock Washer"/>
    <x v="3"/>
    <s v="Component"/>
    <s v="Purchased"/>
    <n v="8"/>
    <s v="EA"/>
    <b v="1"/>
  </r>
  <r>
    <x v="62"/>
    <s v="Rotor Shaft"/>
    <x v="3"/>
    <s v="Component"/>
    <s v="Purchased"/>
    <n v="4"/>
    <s v="EA"/>
    <b v="1"/>
  </r>
  <r>
    <x v="63"/>
    <s v="Rotor Core"/>
    <x v="3"/>
    <s v="Component"/>
    <s v="Purchased"/>
    <n v="4"/>
    <s v="EA"/>
    <b v="1"/>
  </r>
  <r>
    <x v="64"/>
    <s v="Copper Bars"/>
    <x v="3"/>
    <s v="Component"/>
    <s v="Purchased"/>
    <n v="6"/>
    <s v="EA"/>
    <b v="1"/>
  </r>
  <r>
    <x v="65"/>
    <s v="End Rings"/>
    <x v="3"/>
    <s v="Component"/>
    <s v="Purchased"/>
    <n v="5"/>
    <s v="EA"/>
    <b v="1"/>
  </r>
  <r>
    <x v="66"/>
    <s v="Rotor Retaining Ring"/>
    <x v="3"/>
    <s v="Component"/>
    <s v="Purchased"/>
    <n v="8"/>
    <s v="EA"/>
    <b v="1"/>
  </r>
  <r>
    <x v="67"/>
    <s v="Balancing Weight"/>
    <x v="3"/>
    <s v="Component"/>
    <s v="Purchased"/>
    <n v="5"/>
    <s v="EA"/>
    <b v="1"/>
  </r>
  <r>
    <x v="68"/>
    <s v="Stator Core"/>
    <x v="3"/>
    <s v="Component"/>
    <s v="Purchased"/>
    <n v="4"/>
    <s v="EA"/>
    <b v="1"/>
  </r>
  <r>
    <x v="69"/>
    <s v="Copper Windings"/>
    <x v="3"/>
    <s v="Component"/>
    <s v="Purchased"/>
    <n v="6"/>
    <s v="EA"/>
    <b v="1"/>
  </r>
  <r>
    <x v="70"/>
    <s v="Insulation Paper"/>
    <x v="3"/>
    <s v="Component"/>
    <s v="Purchased"/>
    <n v="7"/>
    <s v="EA"/>
    <b v="1"/>
  </r>
  <r>
    <x v="71"/>
    <s v="Slot Wedges"/>
    <x v="3"/>
    <s v="Component"/>
    <s v="Purchased"/>
    <n v="7"/>
    <s v="EA"/>
    <b v="1"/>
  </r>
  <r>
    <x v="72"/>
    <s v="Terminal Leads"/>
    <x v="3"/>
    <s v="Component"/>
    <s v="Purchased"/>
    <n v="10"/>
    <s v="EA"/>
    <b v="1"/>
  </r>
  <r>
    <x v="73"/>
    <s v="Insulating Sleeves"/>
    <x v="3"/>
    <s v="Component"/>
    <s v="Purchased"/>
    <n v="10"/>
    <s v="EA"/>
    <b v="1"/>
  </r>
  <r>
    <x v="74"/>
    <s v="Cable Ties"/>
    <x v="3"/>
    <s v="Component"/>
    <s v="Purchased"/>
    <n v="10"/>
    <s v="EA"/>
    <b v="1"/>
  </r>
  <r>
    <x v="75"/>
    <s v="Varnish Pack"/>
    <x v="3"/>
    <s v="Component"/>
    <s v="Purchased"/>
    <n v="7"/>
    <s v="EA"/>
    <b v="1"/>
  </r>
  <r>
    <x v="76"/>
    <s v="Cooling Fan"/>
    <x v="3"/>
    <s v="Component"/>
    <s v="Purchased"/>
    <n v="5"/>
    <s v="EA"/>
    <b v="1"/>
  </r>
  <r>
    <x v="77"/>
    <s v="Fan Hub"/>
    <x v="3"/>
    <s v="Component"/>
    <s v="Purchased"/>
    <n v="5"/>
    <s v="EA"/>
    <b v="1"/>
  </r>
  <r>
    <x v="78"/>
    <s v="Set Screw"/>
    <x v="3"/>
    <s v="Component"/>
    <s v="Purchased"/>
    <n v="8"/>
    <s v="EA"/>
    <b v="1"/>
  </r>
  <r>
    <x v="79"/>
    <s v="Terminal Box"/>
    <x v="3"/>
    <s v="Component"/>
    <s v="Purchased"/>
    <n v="10"/>
    <s v="EA"/>
    <b v="1"/>
  </r>
  <r>
    <x v="80"/>
    <s v="Terminal Block"/>
    <x v="3"/>
    <s v="Component"/>
    <s v="Purchased"/>
    <n v="10"/>
    <s v="EA"/>
    <b v="1"/>
  </r>
  <r>
    <x v="81"/>
    <s v="Terminal Cover"/>
    <x v="3"/>
    <s v="Component"/>
    <s v="Purchased"/>
    <n v="10"/>
    <s v="EA"/>
    <b v="1"/>
  </r>
  <r>
    <x v="82"/>
    <s v="Terminal Screw"/>
    <x v="3"/>
    <s v="Component"/>
    <s v="Purchased"/>
    <n v="8"/>
    <s v="EA"/>
    <b v="1"/>
  </r>
  <r>
    <x v="83"/>
    <s v="Terminal Nut"/>
    <x v="3"/>
    <s v="Component"/>
    <s v="Purchased"/>
    <n v="8"/>
    <s v="EA"/>
    <b v="1"/>
  </r>
  <r>
    <x v="84"/>
    <s v="Cable Clamp"/>
    <x v="3"/>
    <s v="Component"/>
    <s v="Purchased"/>
    <n v="10"/>
    <s v="EA"/>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20B5D0-512F-DA4F-B625-CAC13E065E06}"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3" firstHeaderRow="1" firstDataRow="1" firstDataCol="1"/>
  <pivotFields count="8">
    <pivotField dataField="1" showAll="0">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showAll="0"/>
    <pivotField axis="axisRow" showAll="0">
      <items count="5">
        <item x="0"/>
        <item x="1"/>
        <item x="2"/>
        <item x="3"/>
        <item t="default"/>
      </items>
    </pivotField>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item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32224D-4D5C-3348-BF6D-40B6A882A58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8:N23" firstHeaderRow="1" firstDataRow="1" firstDataCol="1"/>
  <pivotFields count="7">
    <pivotField dataField="1" showAll="0"/>
    <pivotField showAll="0"/>
    <pivotField showAll="0"/>
    <pivotField showAll="0"/>
    <pivotField showAll="0"/>
    <pivotField showAll="0"/>
    <pivotField axis="axisRow" showAll="0">
      <items count="6">
        <item x="3"/>
        <item x="2"/>
        <item x="0"/>
        <item x="1"/>
        <item h="1" x="4"/>
        <item t="default"/>
      </items>
    </pivotField>
  </pivotFields>
  <rowFields count="1">
    <field x="6"/>
  </rowFields>
  <rowItems count="5">
    <i>
      <x/>
    </i>
    <i>
      <x v="1"/>
    </i>
    <i>
      <x v="2"/>
    </i>
    <i>
      <x v="3"/>
    </i>
    <i t="grand">
      <x/>
    </i>
  </rowItems>
  <colItems count="1">
    <i/>
  </colItems>
  <dataFields count="1">
    <dataField name="Count of customer_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ACB577-E2E0-D84A-8E7C-81D600E52B5F}"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17:T21" firstHeaderRow="1" firstDataRow="1" firstDataCol="1"/>
  <pivotFields count="7">
    <pivotField dataField="1" showAll="0"/>
    <pivotField showAll="0"/>
    <pivotField showAll="0"/>
    <pivotField showAll="0"/>
    <pivotField numFmtId="47" showAll="0"/>
    <pivotField axis="axisRow" showAll="0">
      <items count="4">
        <item x="2"/>
        <item x="1"/>
        <item x="0"/>
        <item t="default"/>
      </items>
    </pivotField>
    <pivotField showAll="0"/>
  </pivotFields>
  <rowFields count="1">
    <field x="5"/>
  </rowFields>
  <rowItems count="4">
    <i>
      <x/>
    </i>
    <i>
      <x v="1"/>
    </i>
    <i>
      <x v="2"/>
    </i>
    <i t="grand">
      <x/>
    </i>
  </rowItems>
  <colItems count="1">
    <i/>
  </colItems>
  <dataFields count="1">
    <dataField name="Count of item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3498C17A-0352-104A-932F-0CB0766DCD40}" sourceName="order_status">
  <pivotTables>
    <pivotTable tabId="1" name="PivotTable3"/>
  </pivotTables>
  <data>
    <tabular pivotCacheId="1088999223">
      <items count="5">
        <i x="3" s="1"/>
        <i x="2" s="1"/>
        <i x="0" s="1"/>
        <i x="1"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tus" xr10:uid="{BF44CDE7-DD99-BD48-BDE9-89AD0D750960}" sourceName="inventory_status">
  <pivotTables>
    <pivotTable tabId="1" name="PivotTable5"/>
  </pivotTables>
  <data>
    <tabular pivotCacheId="97153791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level" xr10:uid="{7672C707-9944-E643-9D20-BECC86406040}" sourceName="item_level">
  <pivotTables>
    <pivotTable tabId="1" name="PivotTable4"/>
  </pivotTables>
  <data>
    <tabular pivotCacheId="29848235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E54E32C2-EC9D-8549-9BF8-B39D17459C81}" cache="Slicer_order_status" caption="order_status" rowHeight="251883"/>
  <slicer name="inventory_status" xr10:uid="{F6E054F5-88F7-4F48-8201-8E372AA4BE4D}" cache="Slicer_inventory_status" caption="inventory_status" rowHeight="251883"/>
  <slicer name="item_level" xr10:uid="{91D35F29-7632-2D46-80B0-D937A2E126B6}" cache="Slicer_item_level" caption="item_level"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B14520-28A8-934E-B886-9A8BD738596B}" name="tblItems" displayName="tblItems" ref="A1:H86" totalsRowShown="0">
  <autoFilter ref="A1:H86" xr:uid="{B1B14520-28A8-934E-B886-9A8BD738596B}"/>
  <tableColumns count="8">
    <tableColumn id="1" xr3:uid="{A0728250-0E79-9846-BC33-493D8FEDBAB9}" name="item_id"/>
    <tableColumn id="2" xr3:uid="{4E584CCD-38F8-FD4D-9C05-DDEABE0C88AA}" name="item_name"/>
    <tableColumn id="3" xr3:uid="{60A49FE7-484F-B840-8155-7BB89AC8F055}" name="item_level"/>
    <tableColumn id="4" xr3:uid="{54E17567-DBD9-094B-88BF-EC2BBD66E3AD}" name="item_category"/>
    <tableColumn id="5" xr3:uid="{4742635A-2575-1642-95AF-5A7A2903DA24}" name="procurement_type"/>
    <tableColumn id="6" xr3:uid="{74E7064D-DD46-CF4E-9C26-0E4FAD1B4918}" name="supplier_id"/>
    <tableColumn id="7" xr3:uid="{716CCB9C-79DF-2B45-94CB-7E111DC3A5EE}" name="unit_of_measure"/>
    <tableColumn id="8" xr3:uid="{7F355B01-5DE2-0A49-B63A-E7F7070C43A4}" name="is_activ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EFC82F-57BF-4D42-9433-8E76F086C333}" name="tblBOM" displayName="tblBOM" ref="A1:E89" totalsRowShown="0">
  <autoFilter ref="A1:E89" xr:uid="{38EFC82F-57BF-4D42-9433-8E76F086C333}"/>
  <tableColumns count="5">
    <tableColumn id="1" xr3:uid="{836C3CF5-20E2-7E43-8DC6-662B176EC145}" name="bom_id"/>
    <tableColumn id="2" xr3:uid="{83D2D7DE-6FD4-5541-92A2-CA6ED30B5287}" name="parent_item_id"/>
    <tableColumn id="3" xr3:uid="{BB289197-B63C-FD48-8452-2CAE1911DD24}" name="child_item_id"/>
    <tableColumn id="4" xr3:uid="{BE241BA7-90F6-B649-AECC-6A3F21D9047F}" name="quantity_required"/>
    <tableColumn id="5" xr3:uid="{4D104A7E-3E0D-AF48-8D51-40B7D768CC0B}" name="sequence_n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E0D4B1-8814-E749-87F0-30E78EE3E78E}" name="tblInventory" displayName="tblInventory" ref="A1:G86" totalsRowShown="0">
  <autoFilter ref="A1:G86" xr:uid="{1EE0D4B1-8814-E749-87F0-30E78EE3E78E}"/>
  <tableColumns count="7">
    <tableColumn id="1" xr3:uid="{75B202C9-23B7-3949-99FC-202C86B6D737}" name="item_id"/>
    <tableColumn id="2" xr3:uid="{028A0898-7571-7E4A-B2DB-A7834CCB7970}" name="quantity_on_hand"/>
    <tableColumn id="3" xr3:uid="{58117DAD-FBC1-A840-83B7-9754511EAD59}" name="allocated_quantity"/>
    <tableColumn id="4" xr3:uid="{15695526-CD35-804C-A3BE-E16AD12C7B5A}" name="available_quantity"/>
    <tableColumn id="5" xr3:uid="{9F0A0DF2-DBC5-4C42-A6FD-E83164ED9EE1}" name="last_updated" dataDxfId="4"/>
    <tableColumn id="6" xr3:uid="{B5848AAE-673B-5E44-A88F-57082089CC96}" name="inventory_status" dataDxfId="3">
      <calculatedColumnFormula>IF(D2=0,"Out of Stock",IF(D2&lt;3,"Low Stock","Healthy"))</calculatedColumnFormula>
    </tableColumn>
    <tableColumn id="7" xr3:uid="{A2958D0E-3CC2-AD44-A8B4-D6BA76BB529B}" name="item_name" dataDxfId="2">
      <calculatedColumnFormula>_xlfn.XLOOKUP(A2,tblItems[item_id],tblItems[item_name])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5B4D48-C481-E94E-804C-AC86002AFC88}" name="tblCustomerOrders" displayName="tblCustomerOrders" ref="A1:G22" totalsRowShown="0">
  <autoFilter ref="A1:G22" xr:uid="{3B5B4D48-C481-E94E-804C-AC86002AFC88}"/>
  <tableColumns count="7">
    <tableColumn id="1" xr3:uid="{6E233D2D-319A-3244-A149-266A43AEDC70}" name="customer_order_id"/>
    <tableColumn id="2" xr3:uid="{3E603EE8-74D2-694E-8BF5-FC37A5587A86}" name="customer_name"/>
    <tableColumn id="3" xr3:uid="{6ECC1386-5C63-6948-A5CC-7143109EC723}" name="item_id"/>
    <tableColumn id="4" xr3:uid="{23F15D5D-A63A-C442-A73E-AAAD89A809F2}" name="order_quantity"/>
    <tableColumn id="5" xr3:uid="{D6CEE9FA-6CB6-9640-8D95-79A6820C81AF}" name="order_date" dataDxfId="1"/>
    <tableColumn id="6" xr3:uid="{B2F56CC1-37CB-DE40-894B-61DD2289DAC8}" name="due_date" dataDxfId="0"/>
    <tableColumn id="7" xr3:uid="{F17D1D6C-6165-BD4E-B53B-006A686FCB2D}" name="order_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6A5D8A-BC4A-9244-B214-8462B298F67B}" name="tblSuppliers" displayName="tblSuppliers" ref="A1:G11" totalsRowShown="0">
  <autoFilter ref="A1:G11" xr:uid="{416A5D8A-BC4A-9244-B214-8462B298F67B}"/>
  <tableColumns count="7">
    <tableColumn id="1" xr3:uid="{37F8D21B-8CA0-4747-80F2-E8D54B4935F8}" name="supplier_id"/>
    <tableColumn id="2" xr3:uid="{665834A2-3E01-FA4B-AEA7-CA0403F59362}" name="supplier_name"/>
    <tableColumn id="3" xr3:uid="{6C5D5E22-5399-5544-B0AD-F11B9981E33E}" name="city"/>
    <tableColumn id="4" xr3:uid="{063F0070-AB4D-E94B-9E3B-A33D609499DE}" name="country"/>
    <tableColumn id="5" xr3:uid="{6857CAEB-6D7E-434B-87A3-C321D6FB644A}" name="email"/>
    <tableColumn id="6" xr3:uid="{2F94B45F-639A-B44E-81E9-B20BFF0A635D}" name="phone"/>
    <tableColumn id="7" xr3:uid="{42B3D492-20B3-AC42-9538-C65C4E9C0119}" name="is_acti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2C59-E1C4-1040-8B4B-3796D245D4D7}">
  <dimension ref="A1:W23"/>
  <sheetViews>
    <sheetView tabSelected="1" zoomScale="75" workbookViewId="0">
      <selection activeCell="I40" sqref="I40"/>
    </sheetView>
  </sheetViews>
  <sheetFormatPr baseColWidth="10" defaultRowHeight="16" x14ac:dyDescent="0.2"/>
  <cols>
    <col min="6" max="11" width="10.83203125" customWidth="1"/>
    <col min="13" max="14" width="10.83203125" customWidth="1"/>
    <col min="18" max="20" width="10.83203125" customWidth="1"/>
    <col min="23" max="23" width="14.83203125" bestFit="1" customWidth="1"/>
    <col min="26" max="26" width="14.1640625" bestFit="1" customWidth="1"/>
    <col min="27" max="27" width="15.6640625" bestFit="1" customWidth="1"/>
    <col min="28" max="35" width="2.6640625" bestFit="1" customWidth="1"/>
    <col min="36" max="111" width="3.6640625" bestFit="1" customWidth="1"/>
    <col min="112" max="112" width="11" bestFit="1" customWidth="1"/>
  </cols>
  <sheetData>
    <row r="1" spans="1:23" ht="32" customHeight="1" x14ac:dyDescent="0.35">
      <c r="H1" s="14" t="s">
        <v>196</v>
      </c>
      <c r="I1" s="15"/>
      <c r="J1" s="15"/>
      <c r="K1" s="15"/>
      <c r="L1" s="15"/>
      <c r="M1" s="15"/>
      <c r="N1" s="15"/>
      <c r="O1" s="15"/>
      <c r="W1" s="10" t="s">
        <v>195</v>
      </c>
    </row>
    <row r="2" spans="1:23" x14ac:dyDescent="0.2">
      <c r="U2" s="9"/>
      <c r="V2" s="9"/>
      <c r="W2" s="11">
        <f ca="1">NOW()</f>
        <v>46225.545583449071</v>
      </c>
    </row>
    <row r="4" spans="1:23" ht="17" thickBot="1" x14ac:dyDescent="0.25"/>
    <row r="5" spans="1:23" ht="27" customHeight="1" x14ac:dyDescent="0.2">
      <c r="D5" s="12" t="s">
        <v>179</v>
      </c>
      <c r="G5" s="12" t="s">
        <v>180</v>
      </c>
      <c r="J5" s="12" t="s">
        <v>181</v>
      </c>
      <c r="M5" s="12" t="s">
        <v>193</v>
      </c>
      <c r="P5" s="12" t="s">
        <v>194</v>
      </c>
      <c r="S5" s="12" t="s">
        <v>182</v>
      </c>
    </row>
    <row r="6" spans="1:23" ht="27" customHeight="1" thickBot="1" x14ac:dyDescent="0.25">
      <c r="D6" s="13"/>
      <c r="G6" s="13"/>
      <c r="J6" s="13"/>
      <c r="M6" s="13"/>
      <c r="P6" s="13"/>
      <c r="S6" s="13"/>
    </row>
    <row r="8" spans="1:23" ht="17" thickBot="1" x14ac:dyDescent="0.25">
      <c r="D8" s="8">
        <f>SUM(tblCustomerOrders[order_quantity])</f>
        <v>58</v>
      </c>
      <c r="G8" s="8">
        <f>SUM(MRP!H:H)</f>
        <v>590</v>
      </c>
      <c r="J8" s="8">
        <f>SUM(MRP!I:I)</f>
        <v>13373</v>
      </c>
      <c r="M8" s="8">
        <f>COUNTIF(tblInventory[inventory_status],"Low Stock")</f>
        <v>14</v>
      </c>
      <c r="P8" s="8">
        <f>COUNTIF(tblInventory[inventory_status],"Out of Stock")</f>
        <v>7</v>
      </c>
      <c r="S8" s="8">
        <f>SUM(tblInventory[available_quantity])</f>
        <v>339</v>
      </c>
    </row>
    <row r="12" spans="1:23" x14ac:dyDescent="0.2">
      <c r="A12" s="3"/>
      <c r="B12" s="3"/>
    </row>
    <row r="15" spans="1:23" x14ac:dyDescent="0.2">
      <c r="H15" s="5"/>
    </row>
    <row r="17" spans="3:20" x14ac:dyDescent="0.2">
      <c r="S17" s="6" t="s">
        <v>185</v>
      </c>
      <c r="T17" t="s">
        <v>187</v>
      </c>
    </row>
    <row r="18" spans="3:20" ht="17" x14ac:dyDescent="0.25">
      <c r="C18" t="s">
        <v>183</v>
      </c>
      <c r="D18" s="4">
        <f>SUM(MRP!H:H)</f>
        <v>590</v>
      </c>
      <c r="H18" s="6" t="s">
        <v>185</v>
      </c>
      <c r="I18" t="s">
        <v>187</v>
      </c>
      <c r="M18" s="6" t="s">
        <v>185</v>
      </c>
      <c r="N18" t="s">
        <v>188</v>
      </c>
      <c r="S18" s="7" t="s">
        <v>190</v>
      </c>
      <c r="T18">
        <v>64</v>
      </c>
    </row>
    <row r="19" spans="3:20" ht="17" x14ac:dyDescent="0.25">
      <c r="C19" t="s">
        <v>184</v>
      </c>
      <c r="D19" s="4">
        <f>SUM(MRP!I:I)</f>
        <v>13373</v>
      </c>
      <c r="H19" s="7">
        <v>0</v>
      </c>
      <c r="I19" s="16">
        <v>1</v>
      </c>
      <c r="M19" s="7" t="s">
        <v>126</v>
      </c>
      <c r="N19">
        <v>2</v>
      </c>
      <c r="S19" s="7" t="s">
        <v>191</v>
      </c>
      <c r="T19">
        <v>14</v>
      </c>
    </row>
    <row r="20" spans="3:20" x14ac:dyDescent="0.2">
      <c r="H20" s="7">
        <v>1</v>
      </c>
      <c r="I20" s="16">
        <v>4</v>
      </c>
      <c r="M20" s="7" t="s">
        <v>121</v>
      </c>
      <c r="N20">
        <v>1</v>
      </c>
      <c r="S20" s="7" t="s">
        <v>192</v>
      </c>
      <c r="T20">
        <v>7</v>
      </c>
    </row>
    <row r="21" spans="3:20" x14ac:dyDescent="0.2">
      <c r="H21" s="7">
        <v>2</v>
      </c>
      <c r="I21" s="16">
        <v>23</v>
      </c>
      <c r="M21" s="7" t="s">
        <v>116</v>
      </c>
      <c r="N21">
        <v>5</v>
      </c>
      <c r="S21" s="7" t="s">
        <v>186</v>
      </c>
      <c r="T21">
        <v>85</v>
      </c>
    </row>
    <row r="22" spans="3:20" x14ac:dyDescent="0.2">
      <c r="H22" s="7">
        <v>3</v>
      </c>
      <c r="I22" s="16">
        <v>57</v>
      </c>
      <c r="M22" s="7" t="s">
        <v>118</v>
      </c>
      <c r="N22">
        <v>3</v>
      </c>
    </row>
    <row r="23" spans="3:20" x14ac:dyDescent="0.2">
      <c r="H23" s="7" t="s">
        <v>186</v>
      </c>
      <c r="I23" s="16">
        <v>85</v>
      </c>
      <c r="M23" s="7" t="s">
        <v>186</v>
      </c>
      <c r="N23">
        <v>11</v>
      </c>
    </row>
  </sheetData>
  <mergeCells count="7">
    <mergeCell ref="S5:S6"/>
    <mergeCell ref="H1:O1"/>
    <mergeCell ref="D5:D6"/>
    <mergeCell ref="G5:G6"/>
    <mergeCell ref="J5:J6"/>
    <mergeCell ref="M5:M6"/>
    <mergeCell ref="P5:P6"/>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3D1FE-A04C-6A41-82E3-37F42213AE2E}">
  <dimension ref="A1:H86"/>
  <sheetViews>
    <sheetView workbookViewId="0">
      <selection activeCell="M22" sqref="M22"/>
    </sheetView>
  </sheetViews>
  <sheetFormatPr baseColWidth="10" defaultRowHeight="16" x14ac:dyDescent="0.2"/>
  <cols>
    <col min="1" max="1" width="9.6640625" customWidth="1"/>
    <col min="2" max="2" width="28.83203125" bestFit="1" customWidth="1"/>
    <col min="3" max="3" width="12" customWidth="1"/>
    <col min="4" max="4" width="15.33203125" customWidth="1"/>
    <col min="5" max="5" width="18.5" customWidth="1"/>
    <col min="6" max="6" width="12.5" customWidth="1"/>
    <col min="7" max="7" width="17.33203125" customWidth="1"/>
    <col min="8" max="8" width="10.83203125" customWidth="1"/>
  </cols>
  <sheetData>
    <row r="1" spans="1:8" x14ac:dyDescent="0.2">
      <c r="A1" t="s">
        <v>0</v>
      </c>
      <c r="B1" t="s">
        <v>1</v>
      </c>
      <c r="C1" t="s">
        <v>2</v>
      </c>
      <c r="D1" t="s">
        <v>3</v>
      </c>
      <c r="E1" t="s">
        <v>4</v>
      </c>
      <c r="F1" t="s">
        <v>5</v>
      </c>
      <c r="G1" t="s">
        <v>6</v>
      </c>
      <c r="H1" t="s">
        <v>7</v>
      </c>
    </row>
    <row r="2" spans="1:8" x14ac:dyDescent="0.2">
      <c r="A2">
        <v>1</v>
      </c>
      <c r="B2" t="s">
        <v>8</v>
      </c>
      <c r="C2">
        <v>0</v>
      </c>
      <c r="D2" t="s">
        <v>9</v>
      </c>
      <c r="E2" t="s">
        <v>10</v>
      </c>
      <c r="F2" t="s">
        <v>11</v>
      </c>
      <c r="G2" t="s">
        <v>12</v>
      </c>
      <c r="H2" t="b">
        <v>1</v>
      </c>
    </row>
    <row r="3" spans="1:8" x14ac:dyDescent="0.2">
      <c r="A3">
        <v>2</v>
      </c>
      <c r="B3" t="s">
        <v>13</v>
      </c>
      <c r="C3">
        <v>1</v>
      </c>
      <c r="D3" t="s">
        <v>14</v>
      </c>
      <c r="E3" t="s">
        <v>10</v>
      </c>
      <c r="F3" t="s">
        <v>11</v>
      </c>
      <c r="G3" t="s">
        <v>12</v>
      </c>
      <c r="H3" t="b">
        <v>1</v>
      </c>
    </row>
    <row r="4" spans="1:8" x14ac:dyDescent="0.2">
      <c r="A4">
        <v>3</v>
      </c>
      <c r="B4" t="s">
        <v>15</v>
      </c>
      <c r="C4">
        <v>1</v>
      </c>
      <c r="D4" t="s">
        <v>14</v>
      </c>
      <c r="E4" t="s">
        <v>10</v>
      </c>
      <c r="F4" t="s">
        <v>11</v>
      </c>
      <c r="G4" t="s">
        <v>12</v>
      </c>
      <c r="H4" t="b">
        <v>1</v>
      </c>
    </row>
    <row r="5" spans="1:8" x14ac:dyDescent="0.2">
      <c r="A5">
        <v>4</v>
      </c>
      <c r="B5" t="s">
        <v>16</v>
      </c>
      <c r="C5">
        <v>1</v>
      </c>
      <c r="D5" t="s">
        <v>14</v>
      </c>
      <c r="E5" t="s">
        <v>10</v>
      </c>
      <c r="F5" t="s">
        <v>11</v>
      </c>
      <c r="G5" t="s">
        <v>12</v>
      </c>
      <c r="H5" t="b">
        <v>1</v>
      </c>
    </row>
    <row r="6" spans="1:8" x14ac:dyDescent="0.2">
      <c r="A6">
        <v>5</v>
      </c>
      <c r="B6" t="s">
        <v>17</v>
      </c>
      <c r="C6">
        <v>1</v>
      </c>
      <c r="D6" t="s">
        <v>14</v>
      </c>
      <c r="E6" t="s">
        <v>10</v>
      </c>
      <c r="F6" t="s">
        <v>11</v>
      </c>
      <c r="G6" t="s">
        <v>12</v>
      </c>
      <c r="H6" t="b">
        <v>1</v>
      </c>
    </row>
    <row r="7" spans="1:8" x14ac:dyDescent="0.2">
      <c r="A7">
        <v>6</v>
      </c>
      <c r="B7" t="s">
        <v>18</v>
      </c>
      <c r="C7">
        <v>2</v>
      </c>
      <c r="D7" t="s">
        <v>14</v>
      </c>
      <c r="E7" t="s">
        <v>10</v>
      </c>
      <c r="F7" t="s">
        <v>11</v>
      </c>
      <c r="G7" t="s">
        <v>12</v>
      </c>
      <c r="H7" t="b">
        <v>1</v>
      </c>
    </row>
    <row r="8" spans="1:8" x14ac:dyDescent="0.2">
      <c r="A8">
        <v>7</v>
      </c>
      <c r="B8" t="s">
        <v>19</v>
      </c>
      <c r="C8">
        <v>2</v>
      </c>
      <c r="D8" t="s">
        <v>14</v>
      </c>
      <c r="E8" t="s">
        <v>10</v>
      </c>
      <c r="F8" t="s">
        <v>11</v>
      </c>
      <c r="G8" t="s">
        <v>12</v>
      </c>
      <c r="H8" t="b">
        <v>1</v>
      </c>
    </row>
    <row r="9" spans="1:8" x14ac:dyDescent="0.2">
      <c r="A9">
        <v>8</v>
      </c>
      <c r="B9" t="s">
        <v>20</v>
      </c>
      <c r="C9">
        <v>2</v>
      </c>
      <c r="D9" t="s">
        <v>14</v>
      </c>
      <c r="E9" t="s">
        <v>10</v>
      </c>
      <c r="F9" t="s">
        <v>11</v>
      </c>
      <c r="G9" t="s">
        <v>12</v>
      </c>
      <c r="H9" t="b">
        <v>1</v>
      </c>
    </row>
    <row r="10" spans="1:8" x14ac:dyDescent="0.2">
      <c r="A10">
        <v>9</v>
      </c>
      <c r="B10" t="s">
        <v>21</v>
      </c>
      <c r="C10">
        <v>2</v>
      </c>
      <c r="D10" t="s">
        <v>22</v>
      </c>
      <c r="E10" t="s">
        <v>23</v>
      </c>
      <c r="F10">
        <v>3</v>
      </c>
      <c r="G10" t="s">
        <v>12</v>
      </c>
      <c r="H10" t="b">
        <v>1</v>
      </c>
    </row>
    <row r="11" spans="1:8" x14ac:dyDescent="0.2">
      <c r="A11">
        <v>10</v>
      </c>
      <c r="B11" t="s">
        <v>24</v>
      </c>
      <c r="C11">
        <v>2</v>
      </c>
      <c r="D11" t="s">
        <v>22</v>
      </c>
      <c r="E11" t="s">
        <v>23</v>
      </c>
      <c r="F11">
        <v>3</v>
      </c>
      <c r="G11" t="s">
        <v>12</v>
      </c>
      <c r="H11" t="b">
        <v>1</v>
      </c>
    </row>
    <row r="12" spans="1:8" x14ac:dyDescent="0.2">
      <c r="A12">
        <v>11</v>
      </c>
      <c r="B12" t="s">
        <v>25</v>
      </c>
      <c r="C12">
        <v>2</v>
      </c>
      <c r="D12" t="s">
        <v>14</v>
      </c>
      <c r="E12" t="s">
        <v>10</v>
      </c>
      <c r="F12" t="s">
        <v>11</v>
      </c>
      <c r="G12" t="s">
        <v>12</v>
      </c>
      <c r="H12" t="b">
        <v>1</v>
      </c>
    </row>
    <row r="13" spans="1:8" x14ac:dyDescent="0.2">
      <c r="A13">
        <v>12</v>
      </c>
      <c r="B13" t="s">
        <v>26</v>
      </c>
      <c r="C13">
        <v>2</v>
      </c>
      <c r="D13" t="s">
        <v>14</v>
      </c>
      <c r="E13" t="s">
        <v>10</v>
      </c>
      <c r="F13" t="s">
        <v>11</v>
      </c>
      <c r="G13" t="s">
        <v>12</v>
      </c>
      <c r="H13" t="b">
        <v>1</v>
      </c>
    </row>
    <row r="14" spans="1:8" x14ac:dyDescent="0.2">
      <c r="A14">
        <v>13</v>
      </c>
      <c r="B14" t="s">
        <v>27</v>
      </c>
      <c r="C14">
        <v>2</v>
      </c>
      <c r="D14" t="s">
        <v>14</v>
      </c>
      <c r="E14" t="s">
        <v>10</v>
      </c>
      <c r="F14" t="s">
        <v>11</v>
      </c>
      <c r="G14" t="s">
        <v>12</v>
      </c>
      <c r="H14" t="b">
        <v>1</v>
      </c>
    </row>
    <row r="15" spans="1:8" x14ac:dyDescent="0.2">
      <c r="A15">
        <v>14</v>
      </c>
      <c r="B15" t="s">
        <v>28</v>
      </c>
      <c r="C15">
        <v>2</v>
      </c>
      <c r="D15" t="s">
        <v>14</v>
      </c>
      <c r="E15" t="s">
        <v>10</v>
      </c>
      <c r="F15" t="s">
        <v>11</v>
      </c>
      <c r="G15" t="s">
        <v>12</v>
      </c>
      <c r="H15" t="b">
        <v>1</v>
      </c>
    </row>
    <row r="16" spans="1:8" x14ac:dyDescent="0.2">
      <c r="A16">
        <v>15</v>
      </c>
      <c r="B16" t="s">
        <v>29</v>
      </c>
      <c r="C16">
        <v>2</v>
      </c>
      <c r="D16" t="s">
        <v>14</v>
      </c>
      <c r="E16" t="s">
        <v>10</v>
      </c>
      <c r="F16" t="s">
        <v>11</v>
      </c>
      <c r="G16" t="s">
        <v>12</v>
      </c>
      <c r="H16" t="b">
        <v>1</v>
      </c>
    </row>
    <row r="17" spans="1:8" x14ac:dyDescent="0.2">
      <c r="A17">
        <v>16</v>
      </c>
      <c r="B17" t="s">
        <v>30</v>
      </c>
      <c r="C17">
        <v>2</v>
      </c>
      <c r="D17" t="s">
        <v>22</v>
      </c>
      <c r="E17" t="s">
        <v>23</v>
      </c>
      <c r="F17">
        <v>4</v>
      </c>
      <c r="G17" t="s">
        <v>12</v>
      </c>
      <c r="H17" t="b">
        <v>1</v>
      </c>
    </row>
    <row r="18" spans="1:8" x14ac:dyDescent="0.2">
      <c r="A18">
        <v>17</v>
      </c>
      <c r="B18" t="s">
        <v>31</v>
      </c>
      <c r="C18">
        <v>2</v>
      </c>
      <c r="D18" t="s">
        <v>22</v>
      </c>
      <c r="E18" t="s">
        <v>23</v>
      </c>
      <c r="F18">
        <v>4</v>
      </c>
      <c r="G18" t="s">
        <v>12</v>
      </c>
      <c r="H18" t="b">
        <v>1</v>
      </c>
    </row>
    <row r="19" spans="1:8" x14ac:dyDescent="0.2">
      <c r="A19">
        <v>18</v>
      </c>
      <c r="B19" t="s">
        <v>32</v>
      </c>
      <c r="C19">
        <v>2</v>
      </c>
      <c r="D19" t="s">
        <v>22</v>
      </c>
      <c r="E19" t="s">
        <v>23</v>
      </c>
      <c r="F19">
        <v>4</v>
      </c>
      <c r="G19" t="s">
        <v>12</v>
      </c>
      <c r="H19" t="b">
        <v>1</v>
      </c>
    </row>
    <row r="20" spans="1:8" x14ac:dyDescent="0.2">
      <c r="A20">
        <v>19</v>
      </c>
      <c r="B20" t="s">
        <v>33</v>
      </c>
      <c r="C20">
        <v>2</v>
      </c>
      <c r="D20" t="s">
        <v>22</v>
      </c>
      <c r="E20" t="s">
        <v>23</v>
      </c>
      <c r="F20">
        <v>2</v>
      </c>
      <c r="G20" t="s">
        <v>12</v>
      </c>
      <c r="H20" t="b">
        <v>1</v>
      </c>
    </row>
    <row r="21" spans="1:8" x14ac:dyDescent="0.2">
      <c r="A21">
        <v>20</v>
      </c>
      <c r="B21" t="s">
        <v>34</v>
      </c>
      <c r="C21">
        <v>2</v>
      </c>
      <c r="D21" t="s">
        <v>22</v>
      </c>
      <c r="E21" t="s">
        <v>23</v>
      </c>
      <c r="F21">
        <v>8</v>
      </c>
      <c r="G21" t="s">
        <v>12</v>
      </c>
      <c r="H21" t="b">
        <v>1</v>
      </c>
    </row>
    <row r="22" spans="1:8" x14ac:dyDescent="0.2">
      <c r="A22">
        <v>21</v>
      </c>
      <c r="B22" t="s">
        <v>35</v>
      </c>
      <c r="C22">
        <v>2</v>
      </c>
      <c r="D22" t="s">
        <v>22</v>
      </c>
      <c r="E22" t="s">
        <v>23</v>
      </c>
      <c r="F22">
        <v>8</v>
      </c>
      <c r="G22" t="s">
        <v>12</v>
      </c>
      <c r="H22" t="b">
        <v>1</v>
      </c>
    </row>
    <row r="23" spans="1:8" x14ac:dyDescent="0.2">
      <c r="A23">
        <v>22</v>
      </c>
      <c r="B23" t="s">
        <v>36</v>
      </c>
      <c r="C23">
        <v>2</v>
      </c>
      <c r="D23" t="s">
        <v>22</v>
      </c>
      <c r="E23" t="s">
        <v>23</v>
      </c>
      <c r="F23">
        <v>8</v>
      </c>
      <c r="G23" t="s">
        <v>12</v>
      </c>
      <c r="H23" t="b">
        <v>1</v>
      </c>
    </row>
    <row r="24" spans="1:8" x14ac:dyDescent="0.2">
      <c r="A24">
        <v>23</v>
      </c>
      <c r="B24" t="s">
        <v>37</v>
      </c>
      <c r="C24">
        <v>2</v>
      </c>
      <c r="D24" t="s">
        <v>22</v>
      </c>
      <c r="E24" t="s">
        <v>23</v>
      </c>
      <c r="F24">
        <v>9</v>
      </c>
      <c r="G24" t="s">
        <v>12</v>
      </c>
      <c r="H24" t="b">
        <v>1</v>
      </c>
    </row>
    <row r="25" spans="1:8" x14ac:dyDescent="0.2">
      <c r="A25">
        <v>24</v>
      </c>
      <c r="B25" t="s">
        <v>38</v>
      </c>
      <c r="C25">
        <v>2</v>
      </c>
      <c r="D25" t="s">
        <v>22</v>
      </c>
      <c r="E25" t="s">
        <v>23</v>
      </c>
      <c r="F25">
        <v>9</v>
      </c>
      <c r="G25" t="s">
        <v>12</v>
      </c>
      <c r="H25" t="b">
        <v>1</v>
      </c>
    </row>
    <row r="26" spans="1:8" x14ac:dyDescent="0.2">
      <c r="A26">
        <v>25</v>
      </c>
      <c r="B26" t="s">
        <v>39</v>
      </c>
      <c r="C26">
        <v>2</v>
      </c>
      <c r="D26" t="s">
        <v>22</v>
      </c>
      <c r="E26" t="s">
        <v>23</v>
      </c>
      <c r="F26">
        <v>9</v>
      </c>
      <c r="G26" t="s">
        <v>12</v>
      </c>
      <c r="H26" t="b">
        <v>1</v>
      </c>
    </row>
    <row r="27" spans="1:8" x14ac:dyDescent="0.2">
      <c r="A27">
        <v>26</v>
      </c>
      <c r="B27" t="s">
        <v>40</v>
      </c>
      <c r="C27">
        <v>2</v>
      </c>
      <c r="D27" t="s">
        <v>22</v>
      </c>
      <c r="E27" t="s">
        <v>23</v>
      </c>
      <c r="F27">
        <v>9</v>
      </c>
      <c r="G27" t="s">
        <v>12</v>
      </c>
      <c r="H27" t="b">
        <v>1</v>
      </c>
    </row>
    <row r="28" spans="1:8" x14ac:dyDescent="0.2">
      <c r="A28">
        <v>27</v>
      </c>
      <c r="B28" t="s">
        <v>41</v>
      </c>
      <c r="C28">
        <v>2</v>
      </c>
      <c r="D28" t="s">
        <v>22</v>
      </c>
      <c r="E28" t="s">
        <v>23</v>
      </c>
      <c r="F28">
        <v>9</v>
      </c>
      <c r="G28" t="s">
        <v>12</v>
      </c>
      <c r="H28" t="b">
        <v>1</v>
      </c>
    </row>
    <row r="29" spans="1:8" x14ac:dyDescent="0.2">
      <c r="A29">
        <v>28</v>
      </c>
      <c r="B29" t="s">
        <v>42</v>
      </c>
      <c r="C29">
        <v>2</v>
      </c>
      <c r="D29" t="s">
        <v>22</v>
      </c>
      <c r="E29" t="s">
        <v>23</v>
      </c>
      <c r="F29">
        <v>9</v>
      </c>
      <c r="G29" t="s">
        <v>12</v>
      </c>
      <c r="H29" t="b">
        <v>1</v>
      </c>
    </row>
    <row r="30" spans="1:8" x14ac:dyDescent="0.2">
      <c r="A30">
        <v>29</v>
      </c>
      <c r="B30" t="s">
        <v>43</v>
      </c>
      <c r="C30">
        <v>3</v>
      </c>
      <c r="D30" t="s">
        <v>22</v>
      </c>
      <c r="E30" t="s">
        <v>23</v>
      </c>
      <c r="F30">
        <v>4</v>
      </c>
      <c r="G30" t="s">
        <v>12</v>
      </c>
      <c r="H30" t="b">
        <v>1</v>
      </c>
    </row>
    <row r="31" spans="1:8" x14ac:dyDescent="0.2">
      <c r="A31">
        <v>30</v>
      </c>
      <c r="B31" t="s">
        <v>44</v>
      </c>
      <c r="C31">
        <v>3</v>
      </c>
      <c r="D31" t="s">
        <v>22</v>
      </c>
      <c r="E31" t="s">
        <v>23</v>
      </c>
      <c r="F31">
        <v>4</v>
      </c>
      <c r="G31" t="s">
        <v>12</v>
      </c>
      <c r="H31" t="b">
        <v>1</v>
      </c>
    </row>
    <row r="32" spans="1:8" x14ac:dyDescent="0.2">
      <c r="A32">
        <v>31</v>
      </c>
      <c r="B32" t="s">
        <v>45</v>
      </c>
      <c r="C32">
        <v>3</v>
      </c>
      <c r="D32" t="s">
        <v>22</v>
      </c>
      <c r="E32" t="s">
        <v>23</v>
      </c>
      <c r="F32">
        <v>1</v>
      </c>
      <c r="G32" t="s">
        <v>12</v>
      </c>
      <c r="H32" t="b">
        <v>1</v>
      </c>
    </row>
    <row r="33" spans="1:8" x14ac:dyDescent="0.2">
      <c r="A33">
        <v>32</v>
      </c>
      <c r="B33" t="s">
        <v>46</v>
      </c>
      <c r="C33">
        <v>3</v>
      </c>
      <c r="D33" t="s">
        <v>22</v>
      </c>
      <c r="E33" t="s">
        <v>23</v>
      </c>
      <c r="F33">
        <v>7</v>
      </c>
      <c r="G33" t="s">
        <v>12</v>
      </c>
      <c r="H33" t="b">
        <v>1</v>
      </c>
    </row>
    <row r="34" spans="1:8" x14ac:dyDescent="0.2">
      <c r="A34">
        <v>33</v>
      </c>
      <c r="B34" t="s">
        <v>47</v>
      </c>
      <c r="C34">
        <v>3</v>
      </c>
      <c r="D34" t="s">
        <v>22</v>
      </c>
      <c r="E34" t="s">
        <v>23</v>
      </c>
      <c r="F34">
        <v>3</v>
      </c>
      <c r="G34" t="s">
        <v>12</v>
      </c>
      <c r="H34" t="b">
        <v>1</v>
      </c>
    </row>
    <row r="35" spans="1:8" x14ac:dyDescent="0.2">
      <c r="A35">
        <v>34</v>
      </c>
      <c r="B35" t="s">
        <v>48</v>
      </c>
      <c r="C35">
        <v>3</v>
      </c>
      <c r="D35" t="s">
        <v>22</v>
      </c>
      <c r="E35" t="s">
        <v>23</v>
      </c>
      <c r="F35">
        <v>8</v>
      </c>
      <c r="G35" t="s">
        <v>12</v>
      </c>
      <c r="H35" t="b">
        <v>1</v>
      </c>
    </row>
    <row r="36" spans="1:8" x14ac:dyDescent="0.2">
      <c r="A36">
        <v>35</v>
      </c>
      <c r="B36" t="s">
        <v>49</v>
      </c>
      <c r="C36">
        <v>3</v>
      </c>
      <c r="D36" t="s">
        <v>22</v>
      </c>
      <c r="E36" t="s">
        <v>23</v>
      </c>
      <c r="F36">
        <v>8</v>
      </c>
      <c r="G36" t="s">
        <v>12</v>
      </c>
      <c r="H36" t="b">
        <v>1</v>
      </c>
    </row>
    <row r="37" spans="1:8" x14ac:dyDescent="0.2">
      <c r="A37">
        <v>36</v>
      </c>
      <c r="B37" t="s">
        <v>50</v>
      </c>
      <c r="C37">
        <v>3</v>
      </c>
      <c r="D37" t="s">
        <v>22</v>
      </c>
      <c r="E37" t="s">
        <v>23</v>
      </c>
      <c r="F37">
        <v>8</v>
      </c>
      <c r="G37" t="s">
        <v>12</v>
      </c>
      <c r="H37" t="b">
        <v>1</v>
      </c>
    </row>
    <row r="38" spans="1:8" x14ac:dyDescent="0.2">
      <c r="A38">
        <v>37</v>
      </c>
      <c r="B38" t="s">
        <v>51</v>
      </c>
      <c r="C38">
        <v>3</v>
      </c>
      <c r="D38" t="s">
        <v>22</v>
      </c>
      <c r="E38" t="s">
        <v>23</v>
      </c>
      <c r="F38">
        <v>8</v>
      </c>
      <c r="G38" t="s">
        <v>12</v>
      </c>
      <c r="H38" t="b">
        <v>1</v>
      </c>
    </row>
    <row r="39" spans="1:8" x14ac:dyDescent="0.2">
      <c r="A39">
        <v>38</v>
      </c>
      <c r="B39" t="s">
        <v>52</v>
      </c>
      <c r="C39">
        <v>3</v>
      </c>
      <c r="D39" t="s">
        <v>22</v>
      </c>
      <c r="E39" t="s">
        <v>23</v>
      </c>
      <c r="F39">
        <v>4</v>
      </c>
      <c r="G39" t="s">
        <v>12</v>
      </c>
      <c r="H39" t="b">
        <v>1</v>
      </c>
    </row>
    <row r="40" spans="1:8" x14ac:dyDescent="0.2">
      <c r="A40">
        <v>39</v>
      </c>
      <c r="B40" t="s">
        <v>53</v>
      </c>
      <c r="C40">
        <v>3</v>
      </c>
      <c r="D40" t="s">
        <v>22</v>
      </c>
      <c r="E40" t="s">
        <v>23</v>
      </c>
      <c r="F40">
        <v>4</v>
      </c>
      <c r="G40" t="s">
        <v>12</v>
      </c>
      <c r="H40" t="b">
        <v>1</v>
      </c>
    </row>
    <row r="41" spans="1:8" x14ac:dyDescent="0.2">
      <c r="A41">
        <v>40</v>
      </c>
      <c r="B41" t="s">
        <v>54</v>
      </c>
      <c r="C41">
        <v>3</v>
      </c>
      <c r="D41" t="s">
        <v>22</v>
      </c>
      <c r="E41" t="s">
        <v>23</v>
      </c>
      <c r="F41">
        <v>1</v>
      </c>
      <c r="G41" t="s">
        <v>12</v>
      </c>
      <c r="H41" t="b">
        <v>1</v>
      </c>
    </row>
    <row r="42" spans="1:8" x14ac:dyDescent="0.2">
      <c r="A42">
        <v>41</v>
      </c>
      <c r="B42" t="s">
        <v>55</v>
      </c>
      <c r="C42">
        <v>3</v>
      </c>
      <c r="D42" t="s">
        <v>22</v>
      </c>
      <c r="E42" t="s">
        <v>23</v>
      </c>
      <c r="F42">
        <v>1</v>
      </c>
      <c r="G42" t="s">
        <v>12</v>
      </c>
      <c r="H42" t="b">
        <v>1</v>
      </c>
    </row>
    <row r="43" spans="1:8" x14ac:dyDescent="0.2">
      <c r="A43">
        <v>42</v>
      </c>
      <c r="B43" t="s">
        <v>56</v>
      </c>
      <c r="C43">
        <v>3</v>
      </c>
      <c r="D43" t="s">
        <v>22</v>
      </c>
      <c r="E43" t="s">
        <v>23</v>
      </c>
      <c r="F43">
        <v>4</v>
      </c>
      <c r="G43" t="s">
        <v>12</v>
      </c>
      <c r="H43" t="b">
        <v>1</v>
      </c>
    </row>
    <row r="44" spans="1:8" x14ac:dyDescent="0.2">
      <c r="A44">
        <v>43</v>
      </c>
      <c r="B44" t="s">
        <v>57</v>
      </c>
      <c r="C44">
        <v>3</v>
      </c>
      <c r="D44" t="s">
        <v>22</v>
      </c>
      <c r="E44" t="s">
        <v>23</v>
      </c>
      <c r="F44">
        <v>4</v>
      </c>
      <c r="G44" t="s">
        <v>12</v>
      </c>
      <c r="H44" t="b">
        <v>1</v>
      </c>
    </row>
    <row r="45" spans="1:8" x14ac:dyDescent="0.2">
      <c r="A45">
        <v>44</v>
      </c>
      <c r="B45" t="s">
        <v>58</v>
      </c>
      <c r="C45">
        <v>3</v>
      </c>
      <c r="D45" t="s">
        <v>22</v>
      </c>
      <c r="E45" t="s">
        <v>23</v>
      </c>
      <c r="F45">
        <v>8</v>
      </c>
      <c r="G45" t="s">
        <v>12</v>
      </c>
      <c r="H45" t="b">
        <v>1</v>
      </c>
    </row>
    <row r="46" spans="1:8" x14ac:dyDescent="0.2">
      <c r="A46">
        <v>45</v>
      </c>
      <c r="B46" t="s">
        <v>59</v>
      </c>
      <c r="C46">
        <v>3</v>
      </c>
      <c r="D46" t="s">
        <v>22</v>
      </c>
      <c r="E46" t="s">
        <v>23</v>
      </c>
      <c r="F46">
        <v>8</v>
      </c>
      <c r="G46" t="s">
        <v>12</v>
      </c>
      <c r="H46" t="b">
        <v>1</v>
      </c>
    </row>
    <row r="47" spans="1:8" x14ac:dyDescent="0.2">
      <c r="A47">
        <v>46</v>
      </c>
      <c r="B47" t="s">
        <v>60</v>
      </c>
      <c r="C47">
        <v>3</v>
      </c>
      <c r="D47" t="s">
        <v>22</v>
      </c>
      <c r="E47" t="s">
        <v>23</v>
      </c>
      <c r="F47">
        <v>8</v>
      </c>
      <c r="G47" t="s">
        <v>12</v>
      </c>
      <c r="H47" t="b">
        <v>1</v>
      </c>
    </row>
    <row r="48" spans="1:8" x14ac:dyDescent="0.2">
      <c r="A48">
        <v>47</v>
      </c>
      <c r="B48" t="s">
        <v>61</v>
      </c>
      <c r="C48">
        <v>3</v>
      </c>
      <c r="D48" t="s">
        <v>22</v>
      </c>
      <c r="E48" t="s">
        <v>23</v>
      </c>
      <c r="F48">
        <v>4</v>
      </c>
      <c r="G48" t="s">
        <v>12</v>
      </c>
      <c r="H48" t="b">
        <v>1</v>
      </c>
    </row>
    <row r="49" spans="1:8" x14ac:dyDescent="0.2">
      <c r="A49">
        <v>48</v>
      </c>
      <c r="B49" t="s">
        <v>62</v>
      </c>
      <c r="C49">
        <v>3</v>
      </c>
      <c r="D49" t="s">
        <v>22</v>
      </c>
      <c r="E49" t="s">
        <v>23</v>
      </c>
      <c r="F49">
        <v>8</v>
      </c>
      <c r="G49" t="s">
        <v>12</v>
      </c>
      <c r="H49" t="b">
        <v>1</v>
      </c>
    </row>
    <row r="50" spans="1:8" x14ac:dyDescent="0.2">
      <c r="A50">
        <v>49</v>
      </c>
      <c r="B50" t="s">
        <v>63</v>
      </c>
      <c r="C50">
        <v>3</v>
      </c>
      <c r="D50" t="s">
        <v>22</v>
      </c>
      <c r="E50" t="s">
        <v>23</v>
      </c>
      <c r="F50">
        <v>2</v>
      </c>
      <c r="G50" t="s">
        <v>12</v>
      </c>
      <c r="H50" t="b">
        <v>1</v>
      </c>
    </row>
    <row r="51" spans="1:8" x14ac:dyDescent="0.2">
      <c r="A51">
        <v>50</v>
      </c>
      <c r="B51" t="s">
        <v>64</v>
      </c>
      <c r="C51">
        <v>3</v>
      </c>
      <c r="D51" t="s">
        <v>22</v>
      </c>
      <c r="E51" t="s">
        <v>23</v>
      </c>
      <c r="F51">
        <v>2</v>
      </c>
      <c r="G51" t="s">
        <v>12</v>
      </c>
      <c r="H51" t="b">
        <v>1</v>
      </c>
    </row>
    <row r="52" spans="1:8" x14ac:dyDescent="0.2">
      <c r="A52">
        <v>51</v>
      </c>
      <c r="B52" t="s">
        <v>65</v>
      </c>
      <c r="C52">
        <v>3</v>
      </c>
      <c r="D52" t="s">
        <v>22</v>
      </c>
      <c r="E52" t="s">
        <v>23</v>
      </c>
      <c r="F52">
        <v>8</v>
      </c>
      <c r="G52" t="s">
        <v>12</v>
      </c>
      <c r="H52" t="b">
        <v>1</v>
      </c>
    </row>
    <row r="53" spans="1:8" x14ac:dyDescent="0.2">
      <c r="A53">
        <v>52</v>
      </c>
      <c r="B53" t="s">
        <v>66</v>
      </c>
      <c r="C53">
        <v>3</v>
      </c>
      <c r="D53" t="s">
        <v>22</v>
      </c>
      <c r="E53" t="s">
        <v>23</v>
      </c>
      <c r="F53">
        <v>2</v>
      </c>
      <c r="G53" t="s">
        <v>12</v>
      </c>
      <c r="H53" t="b">
        <v>1</v>
      </c>
    </row>
    <row r="54" spans="1:8" x14ac:dyDescent="0.2">
      <c r="A54">
        <v>53</v>
      </c>
      <c r="B54" t="s">
        <v>67</v>
      </c>
      <c r="C54">
        <v>3</v>
      </c>
      <c r="D54" t="s">
        <v>22</v>
      </c>
      <c r="E54" t="s">
        <v>23</v>
      </c>
      <c r="F54">
        <v>2</v>
      </c>
      <c r="G54" t="s">
        <v>12</v>
      </c>
      <c r="H54" t="b">
        <v>1</v>
      </c>
    </row>
    <row r="55" spans="1:8" x14ac:dyDescent="0.2">
      <c r="A55">
        <v>54</v>
      </c>
      <c r="B55" t="s">
        <v>68</v>
      </c>
      <c r="C55">
        <v>3</v>
      </c>
      <c r="D55" t="s">
        <v>22</v>
      </c>
      <c r="E55" t="s">
        <v>23</v>
      </c>
      <c r="F55">
        <v>8</v>
      </c>
      <c r="G55" t="s">
        <v>12</v>
      </c>
      <c r="H55" t="b">
        <v>1</v>
      </c>
    </row>
    <row r="56" spans="1:8" x14ac:dyDescent="0.2">
      <c r="A56">
        <v>55</v>
      </c>
      <c r="B56" t="s">
        <v>69</v>
      </c>
      <c r="C56">
        <v>3</v>
      </c>
      <c r="D56" t="s">
        <v>22</v>
      </c>
      <c r="E56" t="s">
        <v>23</v>
      </c>
      <c r="F56">
        <v>8</v>
      </c>
      <c r="G56" t="s">
        <v>12</v>
      </c>
      <c r="H56" t="b">
        <v>1</v>
      </c>
    </row>
    <row r="57" spans="1:8" x14ac:dyDescent="0.2">
      <c r="A57">
        <v>56</v>
      </c>
      <c r="B57" t="s">
        <v>70</v>
      </c>
      <c r="C57">
        <v>3</v>
      </c>
      <c r="D57" t="s">
        <v>22</v>
      </c>
      <c r="E57" t="s">
        <v>23</v>
      </c>
      <c r="F57">
        <v>4</v>
      </c>
      <c r="G57" t="s">
        <v>12</v>
      </c>
      <c r="H57" t="b">
        <v>1</v>
      </c>
    </row>
    <row r="58" spans="1:8" x14ac:dyDescent="0.2">
      <c r="A58">
        <v>57</v>
      </c>
      <c r="B58" t="s">
        <v>71</v>
      </c>
      <c r="C58">
        <v>3</v>
      </c>
      <c r="D58" t="s">
        <v>22</v>
      </c>
      <c r="E58" t="s">
        <v>23</v>
      </c>
      <c r="F58">
        <v>4</v>
      </c>
      <c r="G58" t="s">
        <v>12</v>
      </c>
      <c r="H58" t="b">
        <v>1</v>
      </c>
    </row>
    <row r="59" spans="1:8" x14ac:dyDescent="0.2">
      <c r="A59">
        <v>58</v>
      </c>
      <c r="B59" t="s">
        <v>72</v>
      </c>
      <c r="C59">
        <v>3</v>
      </c>
      <c r="D59" t="s">
        <v>22</v>
      </c>
      <c r="E59" t="s">
        <v>23</v>
      </c>
      <c r="F59">
        <v>9</v>
      </c>
      <c r="G59" t="s">
        <v>12</v>
      </c>
      <c r="H59" t="b">
        <v>1</v>
      </c>
    </row>
    <row r="60" spans="1:8" x14ac:dyDescent="0.2">
      <c r="A60">
        <v>59</v>
      </c>
      <c r="B60" t="s">
        <v>73</v>
      </c>
      <c r="C60">
        <v>3</v>
      </c>
      <c r="D60" t="s">
        <v>22</v>
      </c>
      <c r="E60" t="s">
        <v>23</v>
      </c>
      <c r="F60">
        <v>10</v>
      </c>
      <c r="G60" t="s">
        <v>12</v>
      </c>
      <c r="H60" t="b">
        <v>1</v>
      </c>
    </row>
    <row r="61" spans="1:8" x14ac:dyDescent="0.2">
      <c r="A61">
        <v>60</v>
      </c>
      <c r="B61" t="s">
        <v>74</v>
      </c>
      <c r="C61">
        <v>3</v>
      </c>
      <c r="D61" t="s">
        <v>22</v>
      </c>
      <c r="E61" t="s">
        <v>23</v>
      </c>
      <c r="F61">
        <v>8</v>
      </c>
      <c r="G61" t="s">
        <v>12</v>
      </c>
      <c r="H61" t="b">
        <v>1</v>
      </c>
    </row>
    <row r="62" spans="1:8" x14ac:dyDescent="0.2">
      <c r="A62">
        <v>61</v>
      </c>
      <c r="B62" t="s">
        <v>75</v>
      </c>
      <c r="C62">
        <v>3</v>
      </c>
      <c r="D62" t="s">
        <v>22</v>
      </c>
      <c r="E62" t="s">
        <v>23</v>
      </c>
      <c r="F62">
        <v>8</v>
      </c>
      <c r="G62" t="s">
        <v>12</v>
      </c>
      <c r="H62" t="b">
        <v>1</v>
      </c>
    </row>
    <row r="63" spans="1:8" x14ac:dyDescent="0.2">
      <c r="A63">
        <v>62</v>
      </c>
      <c r="B63" t="s">
        <v>76</v>
      </c>
      <c r="C63">
        <v>3</v>
      </c>
      <c r="D63" t="s">
        <v>22</v>
      </c>
      <c r="E63" t="s">
        <v>23</v>
      </c>
      <c r="F63">
        <v>8</v>
      </c>
      <c r="G63" t="s">
        <v>12</v>
      </c>
      <c r="H63" t="b">
        <v>1</v>
      </c>
    </row>
    <row r="64" spans="1:8" x14ac:dyDescent="0.2">
      <c r="A64">
        <v>63</v>
      </c>
      <c r="B64" t="s">
        <v>77</v>
      </c>
      <c r="C64">
        <v>3</v>
      </c>
      <c r="D64" t="s">
        <v>22</v>
      </c>
      <c r="E64" t="s">
        <v>23</v>
      </c>
      <c r="F64">
        <v>4</v>
      </c>
      <c r="G64" t="s">
        <v>12</v>
      </c>
      <c r="H64" t="b">
        <v>1</v>
      </c>
    </row>
    <row r="65" spans="1:8" x14ac:dyDescent="0.2">
      <c r="A65">
        <v>64</v>
      </c>
      <c r="B65" t="s">
        <v>78</v>
      </c>
      <c r="C65">
        <v>3</v>
      </c>
      <c r="D65" t="s">
        <v>22</v>
      </c>
      <c r="E65" t="s">
        <v>23</v>
      </c>
      <c r="F65">
        <v>4</v>
      </c>
      <c r="G65" t="s">
        <v>12</v>
      </c>
      <c r="H65" t="b">
        <v>1</v>
      </c>
    </row>
    <row r="66" spans="1:8" x14ac:dyDescent="0.2">
      <c r="A66">
        <v>65</v>
      </c>
      <c r="B66" t="s">
        <v>79</v>
      </c>
      <c r="C66">
        <v>3</v>
      </c>
      <c r="D66" t="s">
        <v>22</v>
      </c>
      <c r="E66" t="s">
        <v>23</v>
      </c>
      <c r="F66">
        <v>6</v>
      </c>
      <c r="G66" t="s">
        <v>12</v>
      </c>
      <c r="H66" t="b">
        <v>1</v>
      </c>
    </row>
    <row r="67" spans="1:8" x14ac:dyDescent="0.2">
      <c r="A67">
        <v>66</v>
      </c>
      <c r="B67" t="s">
        <v>80</v>
      </c>
      <c r="C67">
        <v>3</v>
      </c>
      <c r="D67" t="s">
        <v>22</v>
      </c>
      <c r="E67" t="s">
        <v>23</v>
      </c>
      <c r="F67">
        <v>5</v>
      </c>
      <c r="G67" t="s">
        <v>12</v>
      </c>
      <c r="H67" t="b">
        <v>1</v>
      </c>
    </row>
    <row r="68" spans="1:8" x14ac:dyDescent="0.2">
      <c r="A68">
        <v>67</v>
      </c>
      <c r="B68" t="s">
        <v>81</v>
      </c>
      <c r="C68">
        <v>3</v>
      </c>
      <c r="D68" t="s">
        <v>22</v>
      </c>
      <c r="E68" t="s">
        <v>23</v>
      </c>
      <c r="F68">
        <v>8</v>
      </c>
      <c r="G68" t="s">
        <v>12</v>
      </c>
      <c r="H68" t="b">
        <v>1</v>
      </c>
    </row>
    <row r="69" spans="1:8" x14ac:dyDescent="0.2">
      <c r="A69">
        <v>68</v>
      </c>
      <c r="B69" t="s">
        <v>82</v>
      </c>
      <c r="C69">
        <v>3</v>
      </c>
      <c r="D69" t="s">
        <v>22</v>
      </c>
      <c r="E69" t="s">
        <v>23</v>
      </c>
      <c r="F69">
        <v>5</v>
      </c>
      <c r="G69" t="s">
        <v>12</v>
      </c>
      <c r="H69" t="b">
        <v>1</v>
      </c>
    </row>
    <row r="70" spans="1:8" x14ac:dyDescent="0.2">
      <c r="A70">
        <v>69</v>
      </c>
      <c r="B70" t="s">
        <v>83</v>
      </c>
      <c r="C70">
        <v>3</v>
      </c>
      <c r="D70" t="s">
        <v>22</v>
      </c>
      <c r="E70" t="s">
        <v>23</v>
      </c>
      <c r="F70">
        <v>4</v>
      </c>
      <c r="G70" t="s">
        <v>12</v>
      </c>
      <c r="H70" t="b">
        <v>1</v>
      </c>
    </row>
    <row r="71" spans="1:8" x14ac:dyDescent="0.2">
      <c r="A71">
        <v>70</v>
      </c>
      <c r="B71" t="s">
        <v>84</v>
      </c>
      <c r="C71">
        <v>3</v>
      </c>
      <c r="D71" t="s">
        <v>22</v>
      </c>
      <c r="E71" t="s">
        <v>23</v>
      </c>
      <c r="F71">
        <v>6</v>
      </c>
      <c r="G71" t="s">
        <v>12</v>
      </c>
      <c r="H71" t="b">
        <v>1</v>
      </c>
    </row>
    <row r="72" spans="1:8" x14ac:dyDescent="0.2">
      <c r="A72">
        <v>71</v>
      </c>
      <c r="B72" t="s">
        <v>85</v>
      </c>
      <c r="C72">
        <v>3</v>
      </c>
      <c r="D72" t="s">
        <v>22</v>
      </c>
      <c r="E72" t="s">
        <v>23</v>
      </c>
      <c r="F72">
        <v>7</v>
      </c>
      <c r="G72" t="s">
        <v>12</v>
      </c>
      <c r="H72" t="b">
        <v>1</v>
      </c>
    </row>
    <row r="73" spans="1:8" x14ac:dyDescent="0.2">
      <c r="A73">
        <v>72</v>
      </c>
      <c r="B73" t="s">
        <v>86</v>
      </c>
      <c r="C73">
        <v>3</v>
      </c>
      <c r="D73" t="s">
        <v>22</v>
      </c>
      <c r="E73" t="s">
        <v>23</v>
      </c>
      <c r="F73">
        <v>7</v>
      </c>
      <c r="G73" t="s">
        <v>12</v>
      </c>
      <c r="H73" t="b">
        <v>1</v>
      </c>
    </row>
    <row r="74" spans="1:8" x14ac:dyDescent="0.2">
      <c r="A74">
        <v>73</v>
      </c>
      <c r="B74" t="s">
        <v>87</v>
      </c>
      <c r="C74">
        <v>3</v>
      </c>
      <c r="D74" t="s">
        <v>22</v>
      </c>
      <c r="E74" t="s">
        <v>23</v>
      </c>
      <c r="F74">
        <v>10</v>
      </c>
      <c r="G74" t="s">
        <v>12</v>
      </c>
      <c r="H74" t="b">
        <v>1</v>
      </c>
    </row>
    <row r="75" spans="1:8" x14ac:dyDescent="0.2">
      <c r="A75">
        <v>74</v>
      </c>
      <c r="B75" t="s">
        <v>88</v>
      </c>
      <c r="C75">
        <v>3</v>
      </c>
      <c r="D75" t="s">
        <v>22</v>
      </c>
      <c r="E75" t="s">
        <v>23</v>
      </c>
      <c r="F75">
        <v>10</v>
      </c>
      <c r="G75" t="s">
        <v>12</v>
      </c>
      <c r="H75" t="b">
        <v>1</v>
      </c>
    </row>
    <row r="76" spans="1:8" x14ac:dyDescent="0.2">
      <c r="A76">
        <v>75</v>
      </c>
      <c r="B76" t="s">
        <v>89</v>
      </c>
      <c r="C76">
        <v>3</v>
      </c>
      <c r="D76" t="s">
        <v>22</v>
      </c>
      <c r="E76" t="s">
        <v>23</v>
      </c>
      <c r="F76">
        <v>10</v>
      </c>
      <c r="G76" t="s">
        <v>12</v>
      </c>
      <c r="H76" t="b">
        <v>1</v>
      </c>
    </row>
    <row r="77" spans="1:8" x14ac:dyDescent="0.2">
      <c r="A77">
        <v>76</v>
      </c>
      <c r="B77" t="s">
        <v>90</v>
      </c>
      <c r="C77">
        <v>3</v>
      </c>
      <c r="D77" t="s">
        <v>22</v>
      </c>
      <c r="E77" t="s">
        <v>23</v>
      </c>
      <c r="F77">
        <v>7</v>
      </c>
      <c r="G77" t="s">
        <v>12</v>
      </c>
      <c r="H77" t="b">
        <v>1</v>
      </c>
    </row>
    <row r="78" spans="1:8" x14ac:dyDescent="0.2">
      <c r="A78">
        <v>77</v>
      </c>
      <c r="B78" t="s">
        <v>91</v>
      </c>
      <c r="C78">
        <v>3</v>
      </c>
      <c r="D78" t="s">
        <v>22</v>
      </c>
      <c r="E78" t="s">
        <v>23</v>
      </c>
      <c r="F78">
        <v>5</v>
      </c>
      <c r="G78" t="s">
        <v>12</v>
      </c>
      <c r="H78" t="b">
        <v>1</v>
      </c>
    </row>
    <row r="79" spans="1:8" x14ac:dyDescent="0.2">
      <c r="A79">
        <v>78</v>
      </c>
      <c r="B79" t="s">
        <v>92</v>
      </c>
      <c r="C79">
        <v>3</v>
      </c>
      <c r="D79" t="s">
        <v>22</v>
      </c>
      <c r="E79" t="s">
        <v>23</v>
      </c>
      <c r="F79">
        <v>5</v>
      </c>
      <c r="G79" t="s">
        <v>12</v>
      </c>
      <c r="H79" t="b">
        <v>1</v>
      </c>
    </row>
    <row r="80" spans="1:8" x14ac:dyDescent="0.2">
      <c r="A80">
        <v>79</v>
      </c>
      <c r="B80" t="s">
        <v>93</v>
      </c>
      <c r="C80">
        <v>3</v>
      </c>
      <c r="D80" t="s">
        <v>22</v>
      </c>
      <c r="E80" t="s">
        <v>23</v>
      </c>
      <c r="F80">
        <v>8</v>
      </c>
      <c r="G80" t="s">
        <v>12</v>
      </c>
      <c r="H80" t="b">
        <v>1</v>
      </c>
    </row>
    <row r="81" spans="1:8" x14ac:dyDescent="0.2">
      <c r="A81">
        <v>80</v>
      </c>
      <c r="B81" t="s">
        <v>94</v>
      </c>
      <c r="C81">
        <v>3</v>
      </c>
      <c r="D81" t="s">
        <v>22</v>
      </c>
      <c r="E81" t="s">
        <v>23</v>
      </c>
      <c r="F81">
        <v>10</v>
      </c>
      <c r="G81" t="s">
        <v>12</v>
      </c>
      <c r="H81" t="b">
        <v>1</v>
      </c>
    </row>
    <row r="82" spans="1:8" x14ac:dyDescent="0.2">
      <c r="A82">
        <v>81</v>
      </c>
      <c r="B82" t="s">
        <v>95</v>
      </c>
      <c r="C82">
        <v>3</v>
      </c>
      <c r="D82" t="s">
        <v>22</v>
      </c>
      <c r="E82" t="s">
        <v>23</v>
      </c>
      <c r="F82">
        <v>10</v>
      </c>
      <c r="G82" t="s">
        <v>12</v>
      </c>
      <c r="H82" t="b">
        <v>1</v>
      </c>
    </row>
    <row r="83" spans="1:8" x14ac:dyDescent="0.2">
      <c r="A83">
        <v>82</v>
      </c>
      <c r="B83" t="s">
        <v>96</v>
      </c>
      <c r="C83">
        <v>3</v>
      </c>
      <c r="D83" t="s">
        <v>22</v>
      </c>
      <c r="E83" t="s">
        <v>23</v>
      </c>
      <c r="F83">
        <v>10</v>
      </c>
      <c r="G83" t="s">
        <v>12</v>
      </c>
      <c r="H83" t="b">
        <v>1</v>
      </c>
    </row>
    <row r="84" spans="1:8" x14ac:dyDescent="0.2">
      <c r="A84">
        <v>83</v>
      </c>
      <c r="B84" t="s">
        <v>97</v>
      </c>
      <c r="C84">
        <v>3</v>
      </c>
      <c r="D84" t="s">
        <v>22</v>
      </c>
      <c r="E84" t="s">
        <v>23</v>
      </c>
      <c r="F84">
        <v>8</v>
      </c>
      <c r="G84" t="s">
        <v>12</v>
      </c>
      <c r="H84" t="b">
        <v>1</v>
      </c>
    </row>
    <row r="85" spans="1:8" x14ac:dyDescent="0.2">
      <c r="A85">
        <v>84</v>
      </c>
      <c r="B85" t="s">
        <v>98</v>
      </c>
      <c r="C85">
        <v>3</v>
      </c>
      <c r="D85" t="s">
        <v>22</v>
      </c>
      <c r="E85" t="s">
        <v>23</v>
      </c>
      <c r="F85">
        <v>8</v>
      </c>
      <c r="G85" t="s">
        <v>12</v>
      </c>
      <c r="H85" t="b">
        <v>1</v>
      </c>
    </row>
    <row r="86" spans="1:8" x14ac:dyDescent="0.2">
      <c r="A86">
        <v>85</v>
      </c>
      <c r="B86" t="s">
        <v>99</v>
      </c>
      <c r="C86">
        <v>3</v>
      </c>
      <c r="D86" t="s">
        <v>22</v>
      </c>
      <c r="E86" t="s">
        <v>23</v>
      </c>
      <c r="F86">
        <v>10</v>
      </c>
      <c r="G86" t="s">
        <v>12</v>
      </c>
      <c r="H86" t="b">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82496-B8DF-4842-9C22-87A7EB56B273}">
  <dimension ref="A1:E89"/>
  <sheetViews>
    <sheetView workbookViewId="0">
      <selection activeCell="G30" sqref="G30"/>
    </sheetView>
  </sheetViews>
  <sheetFormatPr baseColWidth="10" defaultRowHeight="16" x14ac:dyDescent="0.2"/>
  <cols>
    <col min="1" max="1" width="9.5" customWidth="1"/>
    <col min="2" max="2" width="15.83203125" customWidth="1"/>
    <col min="3" max="3" width="14.5" customWidth="1"/>
    <col min="4" max="4" width="17.83203125" customWidth="1"/>
    <col min="5" max="5" width="14.33203125" customWidth="1"/>
  </cols>
  <sheetData>
    <row r="1" spans="1:5" x14ac:dyDescent="0.2">
      <c r="A1" t="s">
        <v>100</v>
      </c>
      <c r="B1" t="s">
        <v>101</v>
      </c>
      <c r="C1" t="s">
        <v>102</v>
      </c>
      <c r="D1" t="s">
        <v>103</v>
      </c>
      <c r="E1" t="s">
        <v>104</v>
      </c>
    </row>
    <row r="2" spans="1:5" x14ac:dyDescent="0.2">
      <c r="A2">
        <v>1</v>
      </c>
      <c r="B2">
        <v>1</v>
      </c>
      <c r="C2">
        <v>2</v>
      </c>
      <c r="D2">
        <v>1</v>
      </c>
      <c r="E2">
        <v>1</v>
      </c>
    </row>
    <row r="3" spans="1:5" x14ac:dyDescent="0.2">
      <c r="A3">
        <v>2</v>
      </c>
      <c r="B3">
        <v>1</v>
      </c>
      <c r="C3">
        <v>3</v>
      </c>
      <c r="D3">
        <v>1</v>
      </c>
      <c r="E3">
        <v>2</v>
      </c>
    </row>
    <row r="4" spans="1:5" x14ac:dyDescent="0.2">
      <c r="A4">
        <v>3</v>
      </c>
      <c r="B4">
        <v>1</v>
      </c>
      <c r="C4">
        <v>4</v>
      </c>
      <c r="D4">
        <v>1</v>
      </c>
      <c r="E4">
        <v>3</v>
      </c>
    </row>
    <row r="5" spans="1:5" x14ac:dyDescent="0.2">
      <c r="A5">
        <v>4</v>
      </c>
      <c r="B5">
        <v>1</v>
      </c>
      <c r="C5">
        <v>5</v>
      </c>
      <c r="D5">
        <v>1</v>
      </c>
      <c r="E5">
        <v>4</v>
      </c>
    </row>
    <row r="6" spans="1:5" x14ac:dyDescent="0.2">
      <c r="A6">
        <v>5</v>
      </c>
      <c r="B6">
        <v>2</v>
      </c>
      <c r="C6">
        <v>6</v>
      </c>
      <c r="D6">
        <v>1</v>
      </c>
      <c r="E6">
        <v>1</v>
      </c>
    </row>
    <row r="7" spans="1:5" x14ac:dyDescent="0.2">
      <c r="A7">
        <v>6</v>
      </c>
      <c r="B7">
        <v>2</v>
      </c>
      <c r="C7">
        <v>7</v>
      </c>
      <c r="D7">
        <v>1</v>
      </c>
      <c r="E7">
        <v>2</v>
      </c>
    </row>
    <row r="8" spans="1:5" x14ac:dyDescent="0.2">
      <c r="A8">
        <v>7</v>
      </c>
      <c r="B8">
        <v>2</v>
      </c>
      <c r="C8">
        <v>8</v>
      </c>
      <c r="D8">
        <v>1</v>
      </c>
      <c r="E8">
        <v>3</v>
      </c>
    </row>
    <row r="9" spans="1:5" x14ac:dyDescent="0.2">
      <c r="A9">
        <v>8</v>
      </c>
      <c r="B9">
        <v>2</v>
      </c>
      <c r="C9">
        <v>9</v>
      </c>
      <c r="D9">
        <v>1</v>
      </c>
      <c r="E9">
        <v>4</v>
      </c>
    </row>
    <row r="10" spans="1:5" x14ac:dyDescent="0.2">
      <c r="A10">
        <v>9</v>
      </c>
      <c r="B10">
        <v>2</v>
      </c>
      <c r="C10">
        <v>10</v>
      </c>
      <c r="D10">
        <v>1</v>
      </c>
      <c r="E10">
        <v>5</v>
      </c>
    </row>
    <row r="11" spans="1:5" x14ac:dyDescent="0.2">
      <c r="A11">
        <v>10</v>
      </c>
      <c r="B11">
        <v>3</v>
      </c>
      <c r="C11">
        <v>11</v>
      </c>
      <c r="D11">
        <v>1</v>
      </c>
      <c r="E11">
        <v>1</v>
      </c>
    </row>
    <row r="12" spans="1:5" x14ac:dyDescent="0.2">
      <c r="A12">
        <v>11</v>
      </c>
      <c r="B12">
        <v>3</v>
      </c>
      <c r="C12">
        <v>12</v>
      </c>
      <c r="D12">
        <v>1</v>
      </c>
      <c r="E12">
        <v>2</v>
      </c>
    </row>
    <row r="13" spans="1:5" x14ac:dyDescent="0.2">
      <c r="A13">
        <v>12</v>
      </c>
      <c r="B13">
        <v>3</v>
      </c>
      <c r="C13">
        <v>13</v>
      </c>
      <c r="D13">
        <v>1</v>
      </c>
      <c r="E13">
        <v>3</v>
      </c>
    </row>
    <row r="14" spans="1:5" x14ac:dyDescent="0.2">
      <c r="A14">
        <v>13</v>
      </c>
      <c r="B14">
        <v>3</v>
      </c>
      <c r="C14">
        <v>14</v>
      </c>
      <c r="D14">
        <v>1</v>
      </c>
      <c r="E14">
        <v>4</v>
      </c>
    </row>
    <row r="15" spans="1:5" x14ac:dyDescent="0.2">
      <c r="A15">
        <v>14</v>
      </c>
      <c r="B15">
        <v>3</v>
      </c>
      <c r="C15">
        <v>15</v>
      </c>
      <c r="D15">
        <v>1</v>
      </c>
      <c r="E15">
        <v>5</v>
      </c>
    </row>
    <row r="16" spans="1:5" x14ac:dyDescent="0.2">
      <c r="A16">
        <v>15</v>
      </c>
      <c r="B16">
        <v>4</v>
      </c>
      <c r="C16">
        <v>16</v>
      </c>
      <c r="D16">
        <v>1</v>
      </c>
      <c r="E16">
        <v>1</v>
      </c>
    </row>
    <row r="17" spans="1:5" x14ac:dyDescent="0.2">
      <c r="A17">
        <v>16</v>
      </c>
      <c r="B17">
        <v>4</v>
      </c>
      <c r="C17">
        <v>17</v>
      </c>
      <c r="D17">
        <v>2</v>
      </c>
      <c r="E17">
        <v>2</v>
      </c>
    </row>
    <row r="18" spans="1:5" x14ac:dyDescent="0.2">
      <c r="A18">
        <v>17</v>
      </c>
      <c r="B18">
        <v>4</v>
      </c>
      <c r="C18">
        <v>18</v>
      </c>
      <c r="D18">
        <v>1</v>
      </c>
      <c r="E18">
        <v>3</v>
      </c>
    </row>
    <row r="19" spans="1:5" x14ac:dyDescent="0.2">
      <c r="A19">
        <v>18</v>
      </c>
      <c r="B19">
        <v>4</v>
      </c>
      <c r="C19">
        <v>19</v>
      </c>
      <c r="D19">
        <v>4</v>
      </c>
      <c r="E19">
        <v>4</v>
      </c>
    </row>
    <row r="20" spans="1:5" x14ac:dyDescent="0.2">
      <c r="A20">
        <v>19</v>
      </c>
      <c r="B20">
        <v>4</v>
      </c>
      <c r="C20">
        <v>20</v>
      </c>
      <c r="D20">
        <v>4</v>
      </c>
      <c r="E20">
        <v>5</v>
      </c>
    </row>
    <row r="21" spans="1:5" x14ac:dyDescent="0.2">
      <c r="A21">
        <v>20</v>
      </c>
      <c r="B21">
        <v>4</v>
      </c>
      <c r="C21">
        <v>21</v>
      </c>
      <c r="D21">
        <v>4</v>
      </c>
      <c r="E21">
        <v>6</v>
      </c>
    </row>
    <row r="22" spans="1:5" x14ac:dyDescent="0.2">
      <c r="A22">
        <v>21</v>
      </c>
      <c r="B22">
        <v>4</v>
      </c>
      <c r="C22">
        <v>22</v>
      </c>
      <c r="D22">
        <v>4</v>
      </c>
      <c r="E22">
        <v>7</v>
      </c>
    </row>
    <row r="23" spans="1:5" x14ac:dyDescent="0.2">
      <c r="A23">
        <v>22</v>
      </c>
      <c r="B23">
        <v>5</v>
      </c>
      <c r="C23">
        <v>23</v>
      </c>
      <c r="D23">
        <v>1</v>
      </c>
      <c r="E23">
        <v>1</v>
      </c>
    </row>
    <row r="24" spans="1:5" x14ac:dyDescent="0.2">
      <c r="A24">
        <v>23</v>
      </c>
      <c r="B24">
        <v>5</v>
      </c>
      <c r="C24">
        <v>24</v>
      </c>
      <c r="D24">
        <v>2</v>
      </c>
      <c r="E24">
        <v>2</v>
      </c>
    </row>
    <row r="25" spans="1:5" x14ac:dyDescent="0.2">
      <c r="A25">
        <v>24</v>
      </c>
      <c r="B25">
        <v>5</v>
      </c>
      <c r="C25">
        <v>25</v>
      </c>
      <c r="D25">
        <v>1</v>
      </c>
      <c r="E25">
        <v>3</v>
      </c>
    </row>
    <row r="26" spans="1:5" x14ac:dyDescent="0.2">
      <c r="A26">
        <v>25</v>
      </c>
      <c r="B26">
        <v>5</v>
      </c>
      <c r="C26">
        <v>26</v>
      </c>
      <c r="D26">
        <v>1</v>
      </c>
      <c r="E26">
        <v>4</v>
      </c>
    </row>
    <row r="27" spans="1:5" x14ac:dyDescent="0.2">
      <c r="A27">
        <v>26</v>
      </c>
      <c r="B27">
        <v>5</v>
      </c>
      <c r="C27">
        <v>27</v>
      </c>
      <c r="D27">
        <v>1</v>
      </c>
      <c r="E27">
        <v>5</v>
      </c>
    </row>
    <row r="28" spans="1:5" x14ac:dyDescent="0.2">
      <c r="A28">
        <v>27</v>
      </c>
      <c r="B28">
        <v>5</v>
      </c>
      <c r="C28">
        <v>28</v>
      </c>
      <c r="D28">
        <v>2</v>
      </c>
      <c r="E28">
        <v>6</v>
      </c>
    </row>
    <row r="29" spans="1:5" x14ac:dyDescent="0.2">
      <c r="A29">
        <v>28</v>
      </c>
      <c r="B29">
        <v>6</v>
      </c>
      <c r="C29">
        <v>29</v>
      </c>
      <c r="D29">
        <v>1</v>
      </c>
      <c r="E29">
        <v>1</v>
      </c>
    </row>
    <row r="30" spans="1:5" x14ac:dyDescent="0.2">
      <c r="A30">
        <v>29</v>
      </c>
      <c r="B30">
        <v>6</v>
      </c>
      <c r="C30">
        <v>30</v>
      </c>
      <c r="D30">
        <v>1</v>
      </c>
      <c r="E30">
        <v>2</v>
      </c>
    </row>
    <row r="31" spans="1:5" x14ac:dyDescent="0.2">
      <c r="A31">
        <v>30</v>
      </c>
      <c r="B31">
        <v>6</v>
      </c>
      <c r="C31">
        <v>31</v>
      </c>
      <c r="D31">
        <v>2</v>
      </c>
      <c r="E31">
        <v>3</v>
      </c>
    </row>
    <row r="32" spans="1:5" x14ac:dyDescent="0.2">
      <c r="A32">
        <v>31</v>
      </c>
      <c r="B32">
        <v>6</v>
      </c>
      <c r="C32">
        <v>32</v>
      </c>
      <c r="D32">
        <v>1</v>
      </c>
      <c r="E32">
        <v>4</v>
      </c>
    </row>
    <row r="33" spans="1:5" x14ac:dyDescent="0.2">
      <c r="A33">
        <v>32</v>
      </c>
      <c r="B33">
        <v>6</v>
      </c>
      <c r="C33">
        <v>33</v>
      </c>
      <c r="D33">
        <v>2</v>
      </c>
      <c r="E33">
        <v>5</v>
      </c>
    </row>
    <row r="34" spans="1:5" x14ac:dyDescent="0.2">
      <c r="A34">
        <v>33</v>
      </c>
      <c r="B34">
        <v>6</v>
      </c>
      <c r="C34">
        <v>34</v>
      </c>
      <c r="D34">
        <v>12</v>
      </c>
      <c r="E34">
        <v>6</v>
      </c>
    </row>
    <row r="35" spans="1:5" x14ac:dyDescent="0.2">
      <c r="A35">
        <v>34</v>
      </c>
      <c r="B35">
        <v>6</v>
      </c>
      <c r="C35">
        <v>35</v>
      </c>
      <c r="D35">
        <v>12</v>
      </c>
      <c r="E35">
        <v>7</v>
      </c>
    </row>
    <row r="36" spans="1:5" x14ac:dyDescent="0.2">
      <c r="A36">
        <v>35</v>
      </c>
      <c r="B36">
        <v>6</v>
      </c>
      <c r="C36">
        <v>36</v>
      </c>
      <c r="D36">
        <v>12</v>
      </c>
      <c r="E36">
        <v>8</v>
      </c>
    </row>
    <row r="37" spans="1:5" x14ac:dyDescent="0.2">
      <c r="A37">
        <v>36</v>
      </c>
      <c r="B37">
        <v>6</v>
      </c>
      <c r="C37">
        <v>37</v>
      </c>
      <c r="D37">
        <v>12</v>
      </c>
      <c r="E37">
        <v>9</v>
      </c>
    </row>
    <row r="38" spans="1:5" x14ac:dyDescent="0.2">
      <c r="A38">
        <v>37</v>
      </c>
      <c r="B38">
        <v>7</v>
      </c>
      <c r="C38">
        <v>38</v>
      </c>
      <c r="D38">
        <v>1</v>
      </c>
      <c r="E38">
        <v>1</v>
      </c>
    </row>
    <row r="39" spans="1:5" x14ac:dyDescent="0.2">
      <c r="A39">
        <v>38</v>
      </c>
      <c r="B39">
        <v>7</v>
      </c>
      <c r="C39">
        <v>39</v>
      </c>
      <c r="D39">
        <v>1</v>
      </c>
      <c r="E39">
        <v>2</v>
      </c>
    </row>
    <row r="40" spans="1:5" x14ac:dyDescent="0.2">
      <c r="A40">
        <v>39</v>
      </c>
      <c r="B40">
        <v>7</v>
      </c>
      <c r="C40">
        <v>40</v>
      </c>
      <c r="D40">
        <v>1</v>
      </c>
      <c r="E40">
        <v>3</v>
      </c>
    </row>
    <row r="41" spans="1:5" x14ac:dyDescent="0.2">
      <c r="A41">
        <v>40</v>
      </c>
      <c r="B41">
        <v>7</v>
      </c>
      <c r="C41">
        <v>41</v>
      </c>
      <c r="D41">
        <v>1</v>
      </c>
      <c r="E41">
        <v>4</v>
      </c>
    </row>
    <row r="42" spans="1:5" x14ac:dyDescent="0.2">
      <c r="A42">
        <v>41</v>
      </c>
      <c r="B42">
        <v>7</v>
      </c>
      <c r="C42">
        <v>42</v>
      </c>
      <c r="D42">
        <v>1</v>
      </c>
      <c r="E42">
        <v>5</v>
      </c>
    </row>
    <row r="43" spans="1:5" x14ac:dyDescent="0.2">
      <c r="A43">
        <v>42</v>
      </c>
      <c r="B43">
        <v>7</v>
      </c>
      <c r="C43">
        <v>43</v>
      </c>
      <c r="D43">
        <v>1</v>
      </c>
      <c r="E43">
        <v>6</v>
      </c>
    </row>
    <row r="44" spans="1:5" x14ac:dyDescent="0.2">
      <c r="A44">
        <v>43</v>
      </c>
      <c r="B44">
        <v>7</v>
      </c>
      <c r="C44">
        <v>44</v>
      </c>
      <c r="D44">
        <v>1</v>
      </c>
      <c r="E44">
        <v>7</v>
      </c>
    </row>
    <row r="45" spans="1:5" x14ac:dyDescent="0.2">
      <c r="A45">
        <v>44</v>
      </c>
      <c r="B45">
        <v>7</v>
      </c>
      <c r="C45">
        <v>45</v>
      </c>
      <c r="D45">
        <v>2</v>
      </c>
      <c r="E45">
        <v>8</v>
      </c>
    </row>
    <row r="46" spans="1:5" x14ac:dyDescent="0.2">
      <c r="A46">
        <v>45</v>
      </c>
      <c r="B46">
        <v>7</v>
      </c>
      <c r="C46">
        <v>46</v>
      </c>
      <c r="D46">
        <v>4</v>
      </c>
      <c r="E46">
        <v>9</v>
      </c>
    </row>
    <row r="47" spans="1:5" x14ac:dyDescent="0.2">
      <c r="A47">
        <v>46</v>
      </c>
      <c r="B47">
        <v>7</v>
      </c>
      <c r="C47">
        <v>47</v>
      </c>
      <c r="D47">
        <v>2</v>
      </c>
      <c r="E47">
        <v>10</v>
      </c>
    </row>
    <row r="48" spans="1:5" x14ac:dyDescent="0.2">
      <c r="A48">
        <v>47</v>
      </c>
      <c r="B48">
        <v>7</v>
      </c>
      <c r="C48">
        <v>48</v>
      </c>
      <c r="D48">
        <v>2</v>
      </c>
      <c r="E48">
        <v>11</v>
      </c>
    </row>
    <row r="49" spans="1:5" x14ac:dyDescent="0.2">
      <c r="A49">
        <v>48</v>
      </c>
      <c r="B49">
        <v>8</v>
      </c>
      <c r="C49">
        <v>49</v>
      </c>
      <c r="D49">
        <v>1</v>
      </c>
      <c r="E49">
        <v>1</v>
      </c>
    </row>
    <row r="50" spans="1:5" x14ac:dyDescent="0.2">
      <c r="A50">
        <v>49</v>
      </c>
      <c r="B50">
        <v>8</v>
      </c>
      <c r="C50">
        <v>50</v>
      </c>
      <c r="D50">
        <v>1</v>
      </c>
      <c r="E50">
        <v>2</v>
      </c>
    </row>
    <row r="51" spans="1:5" x14ac:dyDescent="0.2">
      <c r="A51">
        <v>50</v>
      </c>
      <c r="B51">
        <v>8</v>
      </c>
      <c r="C51">
        <v>51</v>
      </c>
      <c r="D51">
        <v>1</v>
      </c>
      <c r="E51">
        <v>3</v>
      </c>
    </row>
    <row r="52" spans="1:5" x14ac:dyDescent="0.2">
      <c r="A52">
        <v>51</v>
      </c>
      <c r="B52">
        <v>8</v>
      </c>
      <c r="C52">
        <v>52</v>
      </c>
      <c r="D52">
        <v>4</v>
      </c>
      <c r="E52">
        <v>4</v>
      </c>
    </row>
    <row r="53" spans="1:5" x14ac:dyDescent="0.2">
      <c r="A53">
        <v>52</v>
      </c>
      <c r="B53">
        <v>8</v>
      </c>
      <c r="C53">
        <v>53</v>
      </c>
      <c r="D53">
        <v>1</v>
      </c>
      <c r="E53">
        <v>5</v>
      </c>
    </row>
    <row r="54" spans="1:5" x14ac:dyDescent="0.2">
      <c r="A54">
        <v>53</v>
      </c>
      <c r="B54">
        <v>8</v>
      </c>
      <c r="C54">
        <v>54</v>
      </c>
      <c r="D54">
        <v>2</v>
      </c>
      <c r="E54">
        <v>6</v>
      </c>
    </row>
    <row r="55" spans="1:5" x14ac:dyDescent="0.2">
      <c r="A55">
        <v>54</v>
      </c>
      <c r="B55">
        <v>8</v>
      </c>
      <c r="C55">
        <v>55</v>
      </c>
      <c r="D55">
        <v>2</v>
      </c>
      <c r="E55">
        <v>7</v>
      </c>
    </row>
    <row r="56" spans="1:5" x14ac:dyDescent="0.2">
      <c r="A56">
        <v>55</v>
      </c>
      <c r="B56">
        <v>11</v>
      </c>
      <c r="C56">
        <v>56</v>
      </c>
      <c r="D56">
        <v>1</v>
      </c>
      <c r="E56">
        <v>1</v>
      </c>
    </row>
    <row r="57" spans="1:5" x14ac:dyDescent="0.2">
      <c r="A57">
        <v>56</v>
      </c>
      <c r="B57">
        <v>11</v>
      </c>
      <c r="C57">
        <v>57</v>
      </c>
      <c r="D57">
        <v>1</v>
      </c>
      <c r="E57">
        <v>2</v>
      </c>
    </row>
    <row r="58" spans="1:5" x14ac:dyDescent="0.2">
      <c r="A58">
        <v>57</v>
      </c>
      <c r="B58">
        <v>11</v>
      </c>
      <c r="C58">
        <v>58</v>
      </c>
      <c r="D58">
        <v>1</v>
      </c>
      <c r="E58">
        <v>3</v>
      </c>
    </row>
    <row r="59" spans="1:5" x14ac:dyDescent="0.2">
      <c r="A59">
        <v>58</v>
      </c>
      <c r="B59">
        <v>11</v>
      </c>
      <c r="C59">
        <v>59</v>
      </c>
      <c r="D59">
        <v>2</v>
      </c>
      <c r="E59">
        <v>4</v>
      </c>
    </row>
    <row r="60" spans="1:5" x14ac:dyDescent="0.2">
      <c r="A60">
        <v>59</v>
      </c>
      <c r="B60">
        <v>11</v>
      </c>
      <c r="C60">
        <v>60</v>
      </c>
      <c r="D60">
        <v>8</v>
      </c>
      <c r="E60">
        <v>5</v>
      </c>
    </row>
    <row r="61" spans="1:5" x14ac:dyDescent="0.2">
      <c r="A61">
        <v>60</v>
      </c>
      <c r="B61">
        <v>11</v>
      </c>
      <c r="C61">
        <v>61</v>
      </c>
      <c r="D61">
        <v>8</v>
      </c>
      <c r="E61">
        <v>6</v>
      </c>
    </row>
    <row r="62" spans="1:5" x14ac:dyDescent="0.2">
      <c r="A62">
        <v>61</v>
      </c>
      <c r="B62">
        <v>11</v>
      </c>
      <c r="C62">
        <v>36</v>
      </c>
      <c r="D62">
        <v>8</v>
      </c>
      <c r="E62">
        <v>7</v>
      </c>
    </row>
    <row r="63" spans="1:5" x14ac:dyDescent="0.2">
      <c r="A63">
        <v>62</v>
      </c>
      <c r="B63">
        <v>11</v>
      </c>
      <c r="C63">
        <v>62</v>
      </c>
      <c r="D63">
        <v>8</v>
      </c>
      <c r="E63">
        <v>8</v>
      </c>
    </row>
    <row r="64" spans="1:5" x14ac:dyDescent="0.2">
      <c r="A64">
        <v>63</v>
      </c>
      <c r="B64">
        <v>12</v>
      </c>
      <c r="C64">
        <v>63</v>
      </c>
      <c r="D64">
        <v>1</v>
      </c>
      <c r="E64">
        <v>1</v>
      </c>
    </row>
    <row r="65" spans="1:5" x14ac:dyDescent="0.2">
      <c r="A65">
        <v>64</v>
      </c>
      <c r="B65">
        <v>12</v>
      </c>
      <c r="C65">
        <v>64</v>
      </c>
      <c r="D65">
        <v>1</v>
      </c>
      <c r="E65">
        <v>2</v>
      </c>
    </row>
    <row r="66" spans="1:5" x14ac:dyDescent="0.2">
      <c r="A66">
        <v>65</v>
      </c>
      <c r="B66">
        <v>12</v>
      </c>
      <c r="C66">
        <v>65</v>
      </c>
      <c r="D66">
        <v>28</v>
      </c>
      <c r="E66">
        <v>3</v>
      </c>
    </row>
    <row r="67" spans="1:5" x14ac:dyDescent="0.2">
      <c r="A67">
        <v>66</v>
      </c>
      <c r="B67">
        <v>12</v>
      </c>
      <c r="C67">
        <v>66</v>
      </c>
      <c r="D67">
        <v>2</v>
      </c>
      <c r="E67">
        <v>4</v>
      </c>
    </row>
    <row r="68" spans="1:5" x14ac:dyDescent="0.2">
      <c r="A68">
        <v>67</v>
      </c>
      <c r="B68">
        <v>12</v>
      </c>
      <c r="C68">
        <v>67</v>
      </c>
      <c r="D68">
        <v>2</v>
      </c>
      <c r="E68">
        <v>5</v>
      </c>
    </row>
    <row r="69" spans="1:5" x14ac:dyDescent="0.2">
      <c r="A69">
        <v>68</v>
      </c>
      <c r="B69">
        <v>12</v>
      </c>
      <c r="C69">
        <v>68</v>
      </c>
      <c r="D69">
        <v>4</v>
      </c>
      <c r="E69">
        <v>6</v>
      </c>
    </row>
    <row r="70" spans="1:5" x14ac:dyDescent="0.2">
      <c r="A70">
        <v>69</v>
      </c>
      <c r="B70">
        <v>12</v>
      </c>
      <c r="C70">
        <v>62</v>
      </c>
      <c r="D70">
        <v>2</v>
      </c>
      <c r="E70">
        <v>7</v>
      </c>
    </row>
    <row r="71" spans="1:5" x14ac:dyDescent="0.2">
      <c r="A71">
        <v>70</v>
      </c>
      <c r="B71">
        <v>13</v>
      </c>
      <c r="C71">
        <v>69</v>
      </c>
      <c r="D71">
        <v>1</v>
      </c>
      <c r="E71">
        <v>1</v>
      </c>
    </row>
    <row r="72" spans="1:5" x14ac:dyDescent="0.2">
      <c r="A72">
        <v>71</v>
      </c>
      <c r="B72">
        <v>13</v>
      </c>
      <c r="C72">
        <v>70</v>
      </c>
      <c r="D72">
        <v>6</v>
      </c>
      <c r="E72">
        <v>2</v>
      </c>
    </row>
    <row r="73" spans="1:5" x14ac:dyDescent="0.2">
      <c r="A73">
        <v>72</v>
      </c>
      <c r="B73">
        <v>13</v>
      </c>
      <c r="C73">
        <v>71</v>
      </c>
      <c r="D73">
        <v>24</v>
      </c>
      <c r="E73">
        <v>3</v>
      </c>
    </row>
    <row r="74" spans="1:5" x14ac:dyDescent="0.2">
      <c r="A74">
        <v>73</v>
      </c>
      <c r="B74">
        <v>13</v>
      </c>
      <c r="C74">
        <v>72</v>
      </c>
      <c r="D74">
        <v>24</v>
      </c>
      <c r="E74">
        <v>4</v>
      </c>
    </row>
    <row r="75" spans="1:5" x14ac:dyDescent="0.2">
      <c r="A75">
        <v>74</v>
      </c>
      <c r="B75">
        <v>13</v>
      </c>
      <c r="C75">
        <v>73</v>
      </c>
      <c r="D75">
        <v>3</v>
      </c>
      <c r="E75">
        <v>5</v>
      </c>
    </row>
    <row r="76" spans="1:5" x14ac:dyDescent="0.2">
      <c r="A76">
        <v>75</v>
      </c>
      <c r="B76">
        <v>13</v>
      </c>
      <c r="C76">
        <v>74</v>
      </c>
      <c r="D76">
        <v>12</v>
      </c>
      <c r="E76">
        <v>6</v>
      </c>
    </row>
    <row r="77" spans="1:5" x14ac:dyDescent="0.2">
      <c r="A77">
        <v>76</v>
      </c>
      <c r="B77">
        <v>13</v>
      </c>
      <c r="C77">
        <v>75</v>
      </c>
      <c r="D77">
        <v>12</v>
      </c>
      <c r="E77">
        <v>7</v>
      </c>
    </row>
    <row r="78" spans="1:5" x14ac:dyDescent="0.2">
      <c r="A78">
        <v>77</v>
      </c>
      <c r="B78">
        <v>13</v>
      </c>
      <c r="C78">
        <v>76</v>
      </c>
      <c r="D78">
        <v>1</v>
      </c>
      <c r="E78">
        <v>8</v>
      </c>
    </row>
    <row r="79" spans="1:5" x14ac:dyDescent="0.2">
      <c r="A79">
        <v>78</v>
      </c>
      <c r="B79">
        <v>14</v>
      </c>
      <c r="C79">
        <v>77</v>
      </c>
      <c r="D79">
        <v>1</v>
      </c>
      <c r="E79">
        <v>1</v>
      </c>
    </row>
    <row r="80" spans="1:5" x14ac:dyDescent="0.2">
      <c r="A80">
        <v>79</v>
      </c>
      <c r="B80">
        <v>14</v>
      </c>
      <c r="C80">
        <v>78</v>
      </c>
      <c r="D80">
        <v>1</v>
      </c>
      <c r="E80">
        <v>2</v>
      </c>
    </row>
    <row r="81" spans="1:5" x14ac:dyDescent="0.2">
      <c r="A81">
        <v>80</v>
      </c>
      <c r="B81">
        <v>14</v>
      </c>
      <c r="C81">
        <v>79</v>
      </c>
      <c r="D81">
        <v>2</v>
      </c>
      <c r="E81">
        <v>3</v>
      </c>
    </row>
    <row r="82" spans="1:5" x14ac:dyDescent="0.2">
      <c r="A82">
        <v>81</v>
      </c>
      <c r="B82">
        <v>14</v>
      </c>
      <c r="C82">
        <v>62</v>
      </c>
      <c r="D82">
        <v>2</v>
      </c>
      <c r="E82">
        <v>4</v>
      </c>
    </row>
    <row r="83" spans="1:5" x14ac:dyDescent="0.2">
      <c r="A83">
        <v>82</v>
      </c>
      <c r="B83">
        <v>15</v>
      </c>
      <c r="C83">
        <v>80</v>
      </c>
      <c r="D83">
        <v>1</v>
      </c>
      <c r="E83">
        <v>1</v>
      </c>
    </row>
    <row r="84" spans="1:5" x14ac:dyDescent="0.2">
      <c r="A84">
        <v>83</v>
      </c>
      <c r="B84">
        <v>15</v>
      </c>
      <c r="C84">
        <v>81</v>
      </c>
      <c r="D84">
        <v>1</v>
      </c>
      <c r="E84">
        <v>2</v>
      </c>
    </row>
    <row r="85" spans="1:5" x14ac:dyDescent="0.2">
      <c r="A85">
        <v>84</v>
      </c>
      <c r="B85">
        <v>15</v>
      </c>
      <c r="C85">
        <v>82</v>
      </c>
      <c r="D85">
        <v>1</v>
      </c>
      <c r="E85">
        <v>3</v>
      </c>
    </row>
    <row r="86" spans="1:5" x14ac:dyDescent="0.2">
      <c r="A86">
        <v>85</v>
      </c>
      <c r="B86">
        <v>15</v>
      </c>
      <c r="C86">
        <v>83</v>
      </c>
      <c r="D86">
        <v>6</v>
      </c>
      <c r="E86">
        <v>4</v>
      </c>
    </row>
    <row r="87" spans="1:5" x14ac:dyDescent="0.2">
      <c r="A87">
        <v>86</v>
      </c>
      <c r="B87">
        <v>15</v>
      </c>
      <c r="C87">
        <v>84</v>
      </c>
      <c r="D87">
        <v>6</v>
      </c>
      <c r="E87">
        <v>5</v>
      </c>
    </row>
    <row r="88" spans="1:5" x14ac:dyDescent="0.2">
      <c r="A88">
        <v>87</v>
      </c>
      <c r="B88">
        <v>15</v>
      </c>
      <c r="C88">
        <v>36</v>
      </c>
      <c r="D88">
        <v>6</v>
      </c>
      <c r="E88">
        <v>6</v>
      </c>
    </row>
    <row r="89" spans="1:5" x14ac:dyDescent="0.2">
      <c r="A89">
        <v>88</v>
      </c>
      <c r="B89">
        <v>15</v>
      </c>
      <c r="C89">
        <v>85</v>
      </c>
      <c r="D89">
        <v>2</v>
      </c>
      <c r="E89">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24C3E-0023-6F4A-BB56-257CBF61A9E7}">
  <dimension ref="A1:G86"/>
  <sheetViews>
    <sheetView topLeftCell="A2" workbookViewId="0">
      <selection activeCell="L11" sqref="L11"/>
    </sheetView>
  </sheetViews>
  <sheetFormatPr baseColWidth="10" defaultRowHeight="16" x14ac:dyDescent="0.2"/>
  <cols>
    <col min="1" max="1" width="9.6640625" customWidth="1"/>
    <col min="2" max="2" width="17.83203125" customWidth="1"/>
    <col min="3" max="3" width="18.6640625" customWidth="1"/>
    <col min="4" max="4" width="18.33203125" customWidth="1"/>
    <col min="5" max="5" width="14.1640625" customWidth="1"/>
    <col min="6" max="7" width="18.33203125" customWidth="1"/>
  </cols>
  <sheetData>
    <row r="1" spans="1:7" x14ac:dyDescent="0.2">
      <c r="A1" t="s">
        <v>0</v>
      </c>
      <c r="B1" t="s">
        <v>105</v>
      </c>
      <c r="C1" t="s">
        <v>106</v>
      </c>
      <c r="D1" t="s">
        <v>107</v>
      </c>
      <c r="E1" t="s">
        <v>108</v>
      </c>
      <c r="F1" t="s">
        <v>189</v>
      </c>
      <c r="G1" t="s">
        <v>1</v>
      </c>
    </row>
    <row r="2" spans="1:7" x14ac:dyDescent="0.2">
      <c r="A2">
        <v>1</v>
      </c>
      <c r="B2">
        <v>0</v>
      </c>
      <c r="C2">
        <v>0</v>
      </c>
      <c r="D2">
        <v>0</v>
      </c>
      <c r="E2" s="1">
        <v>46224.41387715278</v>
      </c>
      <c r="F2" t="str">
        <f t="shared" ref="F2:F33" si="0">IF(D2=0,"Out of Stock",IF(D2&lt;3,"Low Stock","Healthy"))</f>
        <v>Out of Stock</v>
      </c>
      <c r="G2" t="str">
        <f>_xlfn.XLOOKUP(A2,tblItems[item_id],tblItems[item_name])</f>
        <v>Industrial Centrifugal Water Pump</v>
      </c>
    </row>
    <row r="3" spans="1:7" x14ac:dyDescent="0.2">
      <c r="A3">
        <v>2</v>
      </c>
      <c r="B3">
        <v>0</v>
      </c>
      <c r="C3">
        <v>0</v>
      </c>
      <c r="D3">
        <v>0</v>
      </c>
      <c r="E3" s="1">
        <v>46224.41387715278</v>
      </c>
      <c r="F3" t="str">
        <f t="shared" si="0"/>
        <v>Out of Stock</v>
      </c>
      <c r="G3" t="str">
        <f>_xlfn.XLOOKUP(A3,tblItems[item_id],tblItems[item_name])</f>
        <v>Pump Assembly</v>
      </c>
    </row>
    <row r="4" spans="1:7" x14ac:dyDescent="0.2">
      <c r="A4">
        <v>3</v>
      </c>
      <c r="B4">
        <v>0</v>
      </c>
      <c r="C4">
        <v>0</v>
      </c>
      <c r="D4">
        <v>0</v>
      </c>
      <c r="E4" s="1">
        <v>46224.41387715278</v>
      </c>
      <c r="F4" t="str">
        <f t="shared" si="0"/>
        <v>Out of Stock</v>
      </c>
      <c r="G4" t="str">
        <f>_xlfn.XLOOKUP(A4,tblItems[item_id],tblItems[item_name])</f>
        <v>Electric Motor Assembly</v>
      </c>
    </row>
    <row r="5" spans="1:7" x14ac:dyDescent="0.2">
      <c r="A5">
        <v>4</v>
      </c>
      <c r="B5">
        <v>0</v>
      </c>
      <c r="C5">
        <v>0</v>
      </c>
      <c r="D5">
        <v>0</v>
      </c>
      <c r="E5" s="1">
        <v>46224.41387715278</v>
      </c>
      <c r="F5" t="str">
        <f t="shared" si="0"/>
        <v>Out of Stock</v>
      </c>
      <c r="G5" t="str">
        <f>_xlfn.XLOOKUP(A5,tblItems[item_id],tblItems[item_name])</f>
        <v>Base Frame Assembly</v>
      </c>
    </row>
    <row r="6" spans="1:7" x14ac:dyDescent="0.2">
      <c r="A6">
        <v>5</v>
      </c>
      <c r="B6">
        <v>0</v>
      </c>
      <c r="C6">
        <v>0</v>
      </c>
      <c r="D6">
        <v>0</v>
      </c>
      <c r="E6" s="1">
        <v>46224.41387715278</v>
      </c>
      <c r="F6" t="str">
        <f t="shared" si="0"/>
        <v>Out of Stock</v>
      </c>
      <c r="G6" t="str">
        <f>_xlfn.XLOOKUP(A6,tblItems[item_id],tblItems[item_name])</f>
        <v>Packaging Assembly</v>
      </c>
    </row>
    <row r="7" spans="1:7" x14ac:dyDescent="0.2">
      <c r="A7">
        <v>6</v>
      </c>
      <c r="B7">
        <v>1</v>
      </c>
      <c r="C7">
        <v>0</v>
      </c>
      <c r="D7">
        <v>1</v>
      </c>
      <c r="E7" s="1">
        <v>46224.41387715278</v>
      </c>
      <c r="F7" t="str">
        <f t="shared" si="0"/>
        <v>Low Stock</v>
      </c>
      <c r="G7" t="str">
        <f>_xlfn.XLOOKUP(A7,tblItems[item_id],tblItems[item_name])</f>
        <v>Casing Assembly</v>
      </c>
    </row>
    <row r="8" spans="1:7" x14ac:dyDescent="0.2">
      <c r="A8">
        <v>7</v>
      </c>
      <c r="B8">
        <v>0</v>
      </c>
      <c r="C8">
        <v>0</v>
      </c>
      <c r="D8">
        <v>0</v>
      </c>
      <c r="E8" s="1">
        <v>46224.41387715278</v>
      </c>
      <c r="F8" t="str">
        <f t="shared" si="0"/>
        <v>Out of Stock</v>
      </c>
      <c r="G8" t="str">
        <f>_xlfn.XLOOKUP(A8,tblItems[item_id],tblItems[item_name])</f>
        <v>Rotating Assembly</v>
      </c>
    </row>
    <row r="9" spans="1:7" x14ac:dyDescent="0.2">
      <c r="A9">
        <v>8</v>
      </c>
      <c r="B9">
        <v>2</v>
      </c>
      <c r="C9">
        <v>0</v>
      </c>
      <c r="D9">
        <v>2</v>
      </c>
      <c r="E9" s="1">
        <v>46224.41387715278</v>
      </c>
      <c r="F9" t="str">
        <f t="shared" si="0"/>
        <v>Low Stock</v>
      </c>
      <c r="G9" t="str">
        <f>_xlfn.XLOOKUP(A9,tblItems[item_id],tblItems[item_name])</f>
        <v>Mechanical Seal Assembly</v>
      </c>
    </row>
    <row r="10" spans="1:7" x14ac:dyDescent="0.2">
      <c r="A10">
        <v>9</v>
      </c>
      <c r="B10">
        <v>5</v>
      </c>
      <c r="C10">
        <v>1</v>
      </c>
      <c r="D10">
        <v>4</v>
      </c>
      <c r="E10" s="1">
        <v>46224.41387715278</v>
      </c>
      <c r="F10" t="str">
        <f t="shared" si="0"/>
        <v>Healthy</v>
      </c>
      <c r="G10" t="str">
        <f>_xlfn.XLOOKUP(A10,tblItems[item_id],tblItems[item_name])</f>
        <v>Suction Flange</v>
      </c>
    </row>
    <row r="11" spans="1:7" x14ac:dyDescent="0.2">
      <c r="A11">
        <v>10</v>
      </c>
      <c r="B11">
        <v>4</v>
      </c>
      <c r="C11">
        <v>1</v>
      </c>
      <c r="D11">
        <v>3</v>
      </c>
      <c r="E11" s="1">
        <v>46224.41387715278</v>
      </c>
      <c r="F11" t="str">
        <f t="shared" si="0"/>
        <v>Healthy</v>
      </c>
      <c r="G11" t="str">
        <f>_xlfn.XLOOKUP(A11,tblItems[item_id],tblItems[item_name])</f>
        <v>Discharge Flange</v>
      </c>
    </row>
    <row r="12" spans="1:7" x14ac:dyDescent="0.2">
      <c r="A12">
        <v>11</v>
      </c>
      <c r="B12">
        <v>1</v>
      </c>
      <c r="C12">
        <v>0</v>
      </c>
      <c r="D12">
        <v>1</v>
      </c>
      <c r="E12" s="1">
        <v>46224.41387715278</v>
      </c>
      <c r="F12" t="str">
        <f t="shared" si="0"/>
        <v>Low Stock</v>
      </c>
      <c r="G12" t="str">
        <f>_xlfn.XLOOKUP(A12,tblItems[item_id],tblItems[item_name])</f>
        <v>Motor Housing Assembly</v>
      </c>
    </row>
    <row r="13" spans="1:7" x14ac:dyDescent="0.2">
      <c r="A13">
        <v>12</v>
      </c>
      <c r="B13">
        <v>0</v>
      </c>
      <c r="C13">
        <v>0</v>
      </c>
      <c r="D13">
        <v>0</v>
      </c>
      <c r="E13" s="1">
        <v>46224.41387715278</v>
      </c>
      <c r="F13" t="str">
        <f t="shared" si="0"/>
        <v>Out of Stock</v>
      </c>
      <c r="G13" t="str">
        <f>_xlfn.XLOOKUP(A13,tblItems[item_id],tblItems[item_name])</f>
        <v>Rotor Assembly</v>
      </c>
    </row>
    <row r="14" spans="1:7" x14ac:dyDescent="0.2">
      <c r="A14">
        <v>13</v>
      </c>
      <c r="B14">
        <v>1</v>
      </c>
      <c r="C14">
        <v>0</v>
      </c>
      <c r="D14">
        <v>1</v>
      </c>
      <c r="E14" s="1">
        <v>46224.41387715278</v>
      </c>
      <c r="F14" t="str">
        <f t="shared" si="0"/>
        <v>Low Stock</v>
      </c>
      <c r="G14" t="str">
        <f>_xlfn.XLOOKUP(A14,tblItems[item_id],tblItems[item_name])</f>
        <v>Stator Assembly</v>
      </c>
    </row>
    <row r="15" spans="1:7" x14ac:dyDescent="0.2">
      <c r="A15">
        <v>14</v>
      </c>
      <c r="B15">
        <v>2</v>
      </c>
      <c r="C15">
        <v>0</v>
      </c>
      <c r="D15">
        <v>2</v>
      </c>
      <c r="E15" s="1">
        <v>46224.41387715278</v>
      </c>
      <c r="F15" t="str">
        <f t="shared" si="0"/>
        <v>Low Stock</v>
      </c>
      <c r="G15" t="str">
        <f>_xlfn.XLOOKUP(A15,tblItems[item_id],tblItems[item_name])</f>
        <v>Cooling Fan Assembly</v>
      </c>
    </row>
    <row r="16" spans="1:7" x14ac:dyDescent="0.2">
      <c r="A16">
        <v>15</v>
      </c>
      <c r="B16">
        <v>1</v>
      </c>
      <c r="C16">
        <v>0</v>
      </c>
      <c r="D16">
        <v>1</v>
      </c>
      <c r="E16" s="1">
        <v>46224.41387715278</v>
      </c>
      <c r="F16" t="str">
        <f t="shared" si="0"/>
        <v>Low Stock</v>
      </c>
      <c r="G16" t="str">
        <f>_xlfn.XLOOKUP(A16,tblItems[item_id],tblItems[item_name])</f>
        <v>Terminal Box Assembly</v>
      </c>
    </row>
    <row r="17" spans="1:7" x14ac:dyDescent="0.2">
      <c r="A17">
        <v>16</v>
      </c>
      <c r="B17">
        <v>5</v>
      </c>
      <c r="C17">
        <v>1</v>
      </c>
      <c r="D17">
        <v>4</v>
      </c>
      <c r="E17" s="1">
        <v>46224.41387715278</v>
      </c>
      <c r="F17" t="str">
        <f t="shared" si="0"/>
        <v>Healthy</v>
      </c>
      <c r="G17" t="str">
        <f>_xlfn.XLOOKUP(A17,tblItems[item_id],tblItems[item_name])</f>
        <v>Base Plate</v>
      </c>
    </row>
    <row r="18" spans="1:7" x14ac:dyDescent="0.2">
      <c r="A18">
        <v>17</v>
      </c>
      <c r="B18">
        <v>6</v>
      </c>
      <c r="C18">
        <v>1</v>
      </c>
      <c r="D18">
        <v>5</v>
      </c>
      <c r="E18" s="1">
        <v>46224.41387715278</v>
      </c>
      <c r="F18" t="str">
        <f t="shared" si="0"/>
        <v>Healthy</v>
      </c>
      <c r="G18" t="str">
        <f>_xlfn.XLOOKUP(A18,tblItems[item_id],tblItems[item_name])</f>
        <v>Mounting Feet</v>
      </c>
    </row>
    <row r="19" spans="1:7" x14ac:dyDescent="0.2">
      <c r="A19">
        <v>18</v>
      </c>
      <c r="B19">
        <v>4</v>
      </c>
      <c r="C19">
        <v>1</v>
      </c>
      <c r="D19">
        <v>3</v>
      </c>
      <c r="E19" s="1">
        <v>46224.41387715278</v>
      </c>
      <c r="F19" t="str">
        <f t="shared" si="0"/>
        <v>Healthy</v>
      </c>
      <c r="G19" t="str">
        <f>_xlfn.XLOOKUP(A19,tblItems[item_id],tblItems[item_name])</f>
        <v>Coupling Guard</v>
      </c>
    </row>
    <row r="20" spans="1:7" x14ac:dyDescent="0.2">
      <c r="A20">
        <v>19</v>
      </c>
      <c r="B20">
        <v>5</v>
      </c>
      <c r="C20">
        <v>1</v>
      </c>
      <c r="D20">
        <v>4</v>
      </c>
      <c r="E20" s="1">
        <v>46224.41387715278</v>
      </c>
      <c r="F20" t="str">
        <f t="shared" si="0"/>
        <v>Healthy</v>
      </c>
      <c r="G20" t="str">
        <f>_xlfn.XLOOKUP(A20,tblItems[item_id],tblItems[item_name])</f>
        <v>Anti Vibration Pads</v>
      </c>
    </row>
    <row r="21" spans="1:7" x14ac:dyDescent="0.2">
      <c r="A21">
        <v>20</v>
      </c>
      <c r="B21">
        <v>10</v>
      </c>
      <c r="C21">
        <v>2</v>
      </c>
      <c r="D21">
        <v>8</v>
      </c>
      <c r="E21" s="1">
        <v>46224.41387715278</v>
      </c>
      <c r="F21" t="str">
        <f t="shared" si="0"/>
        <v>Healthy</v>
      </c>
      <c r="G21" t="str">
        <f>_xlfn.XLOOKUP(A21,tblItems[item_id],tblItems[item_name])</f>
        <v>Anchor Bolts</v>
      </c>
    </row>
    <row r="22" spans="1:7" x14ac:dyDescent="0.2">
      <c r="A22">
        <v>21</v>
      </c>
      <c r="B22">
        <v>10</v>
      </c>
      <c r="C22">
        <v>2</v>
      </c>
      <c r="D22">
        <v>8</v>
      </c>
      <c r="E22" s="1">
        <v>46224.41387715278</v>
      </c>
      <c r="F22" t="str">
        <f t="shared" si="0"/>
        <v>Healthy</v>
      </c>
      <c r="G22" t="str">
        <f>_xlfn.XLOOKUP(A22,tblItems[item_id],tblItems[item_name])</f>
        <v>Anchor Nuts</v>
      </c>
    </row>
    <row r="23" spans="1:7" x14ac:dyDescent="0.2">
      <c r="A23">
        <v>22</v>
      </c>
      <c r="B23">
        <v>10</v>
      </c>
      <c r="C23">
        <v>2</v>
      </c>
      <c r="D23">
        <v>8</v>
      </c>
      <c r="E23" s="1">
        <v>46224.41387715278</v>
      </c>
      <c r="F23" t="str">
        <f t="shared" si="0"/>
        <v>Healthy</v>
      </c>
      <c r="G23" t="str">
        <f>_xlfn.XLOOKUP(A23,tblItems[item_id],tblItems[item_name])</f>
        <v>Flat Washers</v>
      </c>
    </row>
    <row r="24" spans="1:7" x14ac:dyDescent="0.2">
      <c r="A24">
        <v>23</v>
      </c>
      <c r="B24">
        <v>5</v>
      </c>
      <c r="C24">
        <v>1</v>
      </c>
      <c r="D24">
        <v>4</v>
      </c>
      <c r="E24" s="1">
        <v>46224.41387715278</v>
      </c>
      <c r="F24" t="str">
        <f t="shared" si="0"/>
        <v>Healthy</v>
      </c>
      <c r="G24" t="str">
        <f>_xlfn.XLOOKUP(A24,tblItems[item_id],tblItems[item_name])</f>
        <v>Carton Box</v>
      </c>
    </row>
    <row r="25" spans="1:7" x14ac:dyDescent="0.2">
      <c r="A25">
        <v>24</v>
      </c>
      <c r="B25">
        <v>6</v>
      </c>
      <c r="C25">
        <v>1</v>
      </c>
      <c r="D25">
        <v>5</v>
      </c>
      <c r="E25" s="1">
        <v>46224.41387715278</v>
      </c>
      <c r="F25" t="str">
        <f t="shared" si="0"/>
        <v>Healthy</v>
      </c>
      <c r="G25" t="str">
        <f>_xlfn.XLOOKUP(A25,tblItems[item_id],tblItems[item_name])</f>
        <v>Foam Inserts</v>
      </c>
    </row>
    <row r="26" spans="1:7" x14ac:dyDescent="0.2">
      <c r="A26">
        <v>25</v>
      </c>
      <c r="B26">
        <v>5</v>
      </c>
      <c r="C26">
        <v>1</v>
      </c>
      <c r="D26">
        <v>4</v>
      </c>
      <c r="E26" s="1">
        <v>46224.41387715278</v>
      </c>
      <c r="F26" t="str">
        <f t="shared" si="0"/>
        <v>Healthy</v>
      </c>
      <c r="G26" t="str">
        <f>_xlfn.XLOOKUP(A26,tblItems[item_id],tblItems[item_name])</f>
        <v>Plastic Bag</v>
      </c>
    </row>
    <row r="27" spans="1:7" x14ac:dyDescent="0.2">
      <c r="A27">
        <v>26</v>
      </c>
      <c r="B27">
        <v>8</v>
      </c>
      <c r="C27">
        <v>0</v>
      </c>
      <c r="D27">
        <v>8</v>
      </c>
      <c r="E27" s="1">
        <v>46224.41387715278</v>
      </c>
      <c r="F27" t="str">
        <f t="shared" si="0"/>
        <v>Healthy</v>
      </c>
      <c r="G27" t="str">
        <f>_xlfn.XLOOKUP(A27,tblItems[item_id],tblItems[item_name])</f>
        <v>User Manual</v>
      </c>
    </row>
    <row r="28" spans="1:7" x14ac:dyDescent="0.2">
      <c r="A28">
        <v>27</v>
      </c>
      <c r="B28">
        <v>8</v>
      </c>
      <c r="C28">
        <v>0</v>
      </c>
      <c r="D28">
        <v>8</v>
      </c>
      <c r="E28" s="1">
        <v>46224.41387715278</v>
      </c>
      <c r="F28" t="str">
        <f t="shared" si="0"/>
        <v>Healthy</v>
      </c>
      <c r="G28" t="str">
        <f>_xlfn.XLOOKUP(A28,tblItems[item_id],tblItems[item_name])</f>
        <v>Warranty Card</v>
      </c>
    </row>
    <row r="29" spans="1:7" x14ac:dyDescent="0.2">
      <c r="A29">
        <v>28</v>
      </c>
      <c r="B29">
        <v>8</v>
      </c>
      <c r="C29">
        <v>0</v>
      </c>
      <c r="D29">
        <v>8</v>
      </c>
      <c r="E29" s="1">
        <v>46224.41387715278</v>
      </c>
      <c r="F29" t="str">
        <f t="shared" si="0"/>
        <v>Healthy</v>
      </c>
      <c r="G29" t="str">
        <f>_xlfn.XLOOKUP(A29,tblItems[item_id],tblItems[item_name])</f>
        <v>Product Label</v>
      </c>
    </row>
    <row r="30" spans="1:7" x14ac:dyDescent="0.2">
      <c r="A30">
        <v>29</v>
      </c>
      <c r="B30">
        <v>3</v>
      </c>
      <c r="C30">
        <v>0</v>
      </c>
      <c r="D30">
        <v>3</v>
      </c>
      <c r="E30" s="1">
        <v>46224.41387715278</v>
      </c>
      <c r="F30" t="str">
        <f t="shared" si="0"/>
        <v>Healthy</v>
      </c>
      <c r="G30" t="str">
        <f>_xlfn.XLOOKUP(A30,tblItems[item_id],tblItems[item_name])</f>
        <v>Pump Casing</v>
      </c>
    </row>
    <row r="31" spans="1:7" x14ac:dyDescent="0.2">
      <c r="A31">
        <v>30</v>
      </c>
      <c r="B31">
        <v>2</v>
      </c>
      <c r="C31">
        <v>0</v>
      </c>
      <c r="D31">
        <v>2</v>
      </c>
      <c r="E31" s="1">
        <v>46224.41387715278</v>
      </c>
      <c r="F31" t="str">
        <f t="shared" si="0"/>
        <v>Low Stock</v>
      </c>
      <c r="G31" t="str">
        <f>_xlfn.XLOOKUP(A31,tblItems[item_id],tblItems[item_name])</f>
        <v>Casing Cover</v>
      </c>
    </row>
    <row r="32" spans="1:7" x14ac:dyDescent="0.2">
      <c r="A32">
        <v>31</v>
      </c>
      <c r="B32">
        <v>4</v>
      </c>
      <c r="C32">
        <v>1</v>
      </c>
      <c r="D32">
        <v>3</v>
      </c>
      <c r="E32" s="1">
        <v>46224.41387715278</v>
      </c>
      <c r="F32" t="str">
        <f t="shared" si="0"/>
        <v>Healthy</v>
      </c>
      <c r="G32" t="str">
        <f>_xlfn.XLOOKUP(A32,tblItems[item_id],tblItems[item_name])</f>
        <v>Wear Ring</v>
      </c>
    </row>
    <row r="33" spans="1:7" x14ac:dyDescent="0.2">
      <c r="A33">
        <v>32</v>
      </c>
      <c r="B33">
        <v>6</v>
      </c>
      <c r="C33">
        <v>1</v>
      </c>
      <c r="D33">
        <v>5</v>
      </c>
      <c r="E33" s="1">
        <v>46224.41387715278</v>
      </c>
      <c r="F33" t="str">
        <f t="shared" si="0"/>
        <v>Healthy</v>
      </c>
      <c r="G33" t="str">
        <f>_xlfn.XLOOKUP(A33,tblItems[item_id],tblItems[item_name])</f>
        <v>Casing Gasket</v>
      </c>
    </row>
    <row r="34" spans="1:7" x14ac:dyDescent="0.2">
      <c r="A34">
        <v>33</v>
      </c>
      <c r="B34">
        <v>5</v>
      </c>
      <c r="C34">
        <v>1</v>
      </c>
      <c r="D34">
        <v>4</v>
      </c>
      <c r="E34" s="1">
        <v>46224.41387715278</v>
      </c>
      <c r="F34" t="str">
        <f t="shared" ref="F34:F65" si="1">IF(D34=0,"Out of Stock",IF(D34&lt;3,"Low Stock","Healthy"))</f>
        <v>Healthy</v>
      </c>
      <c r="G34" t="str">
        <f>_xlfn.XLOOKUP(A34,tblItems[item_id],tblItems[item_name])</f>
        <v>Drain Plug</v>
      </c>
    </row>
    <row r="35" spans="1:7" x14ac:dyDescent="0.2">
      <c r="A35">
        <v>34</v>
      </c>
      <c r="B35">
        <v>10</v>
      </c>
      <c r="C35">
        <v>2</v>
      </c>
      <c r="D35">
        <v>8</v>
      </c>
      <c r="E35" s="1">
        <v>46224.41387715278</v>
      </c>
      <c r="F35" t="str">
        <f t="shared" si="1"/>
        <v>Healthy</v>
      </c>
      <c r="G35" t="str">
        <f>_xlfn.XLOOKUP(A35,tblItems[item_id],tblItems[item_name])</f>
        <v>Hex Bolt M12</v>
      </c>
    </row>
    <row r="36" spans="1:7" x14ac:dyDescent="0.2">
      <c r="A36">
        <v>35</v>
      </c>
      <c r="B36">
        <v>10</v>
      </c>
      <c r="C36">
        <v>2</v>
      </c>
      <c r="D36">
        <v>8</v>
      </c>
      <c r="E36" s="1">
        <v>46224.41387715278</v>
      </c>
      <c r="F36" t="str">
        <f t="shared" si="1"/>
        <v>Healthy</v>
      </c>
      <c r="G36" t="str">
        <f>_xlfn.XLOOKUP(A36,tblItems[item_id],tblItems[item_name])</f>
        <v>Hex Nut M12</v>
      </c>
    </row>
    <row r="37" spans="1:7" x14ac:dyDescent="0.2">
      <c r="A37">
        <v>36</v>
      </c>
      <c r="B37">
        <v>10</v>
      </c>
      <c r="C37">
        <v>2</v>
      </c>
      <c r="D37">
        <v>8</v>
      </c>
      <c r="E37" s="1">
        <v>46224.41387715278</v>
      </c>
      <c r="F37" t="str">
        <f t="shared" si="1"/>
        <v>Healthy</v>
      </c>
      <c r="G37" t="str">
        <f>_xlfn.XLOOKUP(A37,tblItems[item_id],tblItems[item_name])</f>
        <v>Flat Washer</v>
      </c>
    </row>
    <row r="38" spans="1:7" x14ac:dyDescent="0.2">
      <c r="A38">
        <v>37</v>
      </c>
      <c r="B38">
        <v>10</v>
      </c>
      <c r="C38">
        <v>2</v>
      </c>
      <c r="D38">
        <v>8</v>
      </c>
      <c r="E38" s="1">
        <v>46224.41387715278</v>
      </c>
      <c r="F38" t="str">
        <f t="shared" si="1"/>
        <v>Healthy</v>
      </c>
      <c r="G38" t="str">
        <f>_xlfn.XLOOKUP(A38,tblItems[item_id],tblItems[item_name])</f>
        <v>Spring Washer</v>
      </c>
    </row>
    <row r="39" spans="1:7" x14ac:dyDescent="0.2">
      <c r="A39">
        <v>38</v>
      </c>
      <c r="B39">
        <v>2</v>
      </c>
      <c r="C39">
        <v>0</v>
      </c>
      <c r="D39">
        <v>2</v>
      </c>
      <c r="E39" s="1">
        <v>46224.41387715278</v>
      </c>
      <c r="F39" t="str">
        <f t="shared" si="1"/>
        <v>Low Stock</v>
      </c>
      <c r="G39" t="str">
        <f>_xlfn.XLOOKUP(A39,tblItems[item_id],tblItems[item_name])</f>
        <v>Pump Shaft</v>
      </c>
    </row>
    <row r="40" spans="1:7" x14ac:dyDescent="0.2">
      <c r="A40">
        <v>39</v>
      </c>
      <c r="B40">
        <v>3</v>
      </c>
      <c r="C40">
        <v>0</v>
      </c>
      <c r="D40">
        <v>3</v>
      </c>
      <c r="E40" s="1">
        <v>46224.41387715278</v>
      </c>
      <c r="F40" t="str">
        <f t="shared" si="1"/>
        <v>Healthy</v>
      </c>
      <c r="G40" t="str">
        <f>_xlfn.XLOOKUP(A40,tblItems[item_id],tblItems[item_name])</f>
        <v>Impeller</v>
      </c>
    </row>
    <row r="41" spans="1:7" x14ac:dyDescent="0.2">
      <c r="A41">
        <v>40</v>
      </c>
      <c r="B41">
        <v>4</v>
      </c>
      <c r="C41">
        <v>1</v>
      </c>
      <c r="D41">
        <v>3</v>
      </c>
      <c r="E41" s="1">
        <v>46224.41387715278</v>
      </c>
      <c r="F41" t="str">
        <f t="shared" si="1"/>
        <v>Healthy</v>
      </c>
      <c r="G41" t="str">
        <f>_xlfn.XLOOKUP(A41,tblItems[item_id],tblItems[item_name])</f>
        <v>Front Bearing</v>
      </c>
    </row>
    <row r="42" spans="1:7" x14ac:dyDescent="0.2">
      <c r="A42">
        <v>41</v>
      </c>
      <c r="B42">
        <v>2</v>
      </c>
      <c r="C42">
        <v>0</v>
      </c>
      <c r="D42">
        <v>2</v>
      </c>
      <c r="E42" s="1">
        <v>46224.41387715278</v>
      </c>
      <c r="F42" t="str">
        <f t="shared" si="1"/>
        <v>Low Stock</v>
      </c>
      <c r="G42" t="str">
        <f>_xlfn.XLOOKUP(A42,tblItems[item_id],tblItems[item_name])</f>
        <v>Rear Bearing</v>
      </c>
    </row>
    <row r="43" spans="1:7" x14ac:dyDescent="0.2">
      <c r="A43">
        <v>42</v>
      </c>
      <c r="B43">
        <v>2</v>
      </c>
      <c r="C43">
        <v>0</v>
      </c>
      <c r="D43">
        <v>2</v>
      </c>
      <c r="E43" s="1">
        <v>46224.41387715278</v>
      </c>
      <c r="F43" t="str">
        <f t="shared" si="1"/>
        <v>Low Stock</v>
      </c>
      <c r="G43" t="str">
        <f>_xlfn.XLOOKUP(A43,tblItems[item_id],tblItems[item_name])</f>
        <v>Bearing Housing</v>
      </c>
    </row>
    <row r="44" spans="1:7" x14ac:dyDescent="0.2">
      <c r="A44">
        <v>43</v>
      </c>
      <c r="B44">
        <v>4</v>
      </c>
      <c r="C44">
        <v>1</v>
      </c>
      <c r="D44">
        <v>3</v>
      </c>
      <c r="E44" s="1">
        <v>46224.41387715278</v>
      </c>
      <c r="F44" t="str">
        <f t="shared" si="1"/>
        <v>Healthy</v>
      </c>
      <c r="G44" t="str">
        <f>_xlfn.XLOOKUP(A44,tblItems[item_id],tblItems[item_name])</f>
        <v>Shaft Sleeve</v>
      </c>
    </row>
    <row r="45" spans="1:7" x14ac:dyDescent="0.2">
      <c r="A45">
        <v>44</v>
      </c>
      <c r="B45">
        <v>6</v>
      </c>
      <c r="C45">
        <v>1</v>
      </c>
      <c r="D45">
        <v>5</v>
      </c>
      <c r="E45" s="1">
        <v>46224.41387715278</v>
      </c>
      <c r="F45" t="str">
        <f t="shared" si="1"/>
        <v>Healthy</v>
      </c>
      <c r="G45" t="str">
        <f>_xlfn.XLOOKUP(A45,tblItems[item_id],tblItems[item_name])</f>
        <v>Shaft Key</v>
      </c>
    </row>
    <row r="46" spans="1:7" x14ac:dyDescent="0.2">
      <c r="A46">
        <v>45</v>
      </c>
      <c r="B46">
        <v>5</v>
      </c>
      <c r="C46">
        <v>1</v>
      </c>
      <c r="D46">
        <v>4</v>
      </c>
      <c r="E46" s="1">
        <v>46224.41387715278</v>
      </c>
      <c r="F46" t="str">
        <f t="shared" si="1"/>
        <v>Healthy</v>
      </c>
      <c r="G46" t="str">
        <f>_xlfn.XLOOKUP(A46,tblItems[item_id],tblItems[item_name])</f>
        <v>Bearing Lock Nut</v>
      </c>
    </row>
    <row r="47" spans="1:7" x14ac:dyDescent="0.2">
      <c r="A47">
        <v>46</v>
      </c>
      <c r="B47">
        <v>6</v>
      </c>
      <c r="C47">
        <v>1</v>
      </c>
      <c r="D47">
        <v>5</v>
      </c>
      <c r="E47" s="1">
        <v>46224.41387715278</v>
      </c>
      <c r="F47" t="str">
        <f t="shared" si="1"/>
        <v>Healthy</v>
      </c>
      <c r="G47" t="str">
        <f>_xlfn.XLOOKUP(A47,tblItems[item_id],tblItems[item_name])</f>
        <v>Retaining Ring</v>
      </c>
    </row>
    <row r="48" spans="1:7" x14ac:dyDescent="0.2">
      <c r="A48">
        <v>47</v>
      </c>
      <c r="B48">
        <v>5</v>
      </c>
      <c r="C48">
        <v>1</v>
      </c>
      <c r="D48">
        <v>4</v>
      </c>
      <c r="E48" s="1">
        <v>46224.41387715278</v>
      </c>
      <c r="F48" t="str">
        <f t="shared" si="1"/>
        <v>Healthy</v>
      </c>
      <c r="G48" t="str">
        <f>_xlfn.XLOOKUP(A48,tblItems[item_id],tblItems[item_name])</f>
        <v>Spacer Ring</v>
      </c>
    </row>
    <row r="49" spans="1:7" x14ac:dyDescent="0.2">
      <c r="A49">
        <v>48</v>
      </c>
      <c r="B49">
        <v>6</v>
      </c>
      <c r="C49">
        <v>1</v>
      </c>
      <c r="D49">
        <v>5</v>
      </c>
      <c r="E49" s="1">
        <v>46224.41387715278</v>
      </c>
      <c r="F49" t="str">
        <f t="shared" si="1"/>
        <v>Healthy</v>
      </c>
      <c r="G49" t="str">
        <f>_xlfn.XLOOKUP(A49,tblItems[item_id],tblItems[item_name])</f>
        <v>Circlip</v>
      </c>
    </row>
    <row r="50" spans="1:7" x14ac:dyDescent="0.2">
      <c r="A50">
        <v>49</v>
      </c>
      <c r="B50">
        <v>4</v>
      </c>
      <c r="C50">
        <v>1</v>
      </c>
      <c r="D50">
        <v>3</v>
      </c>
      <c r="E50" s="1">
        <v>46224.41387715278</v>
      </c>
      <c r="F50" t="str">
        <f t="shared" si="1"/>
        <v>Healthy</v>
      </c>
      <c r="G50" t="str">
        <f>_xlfn.XLOOKUP(A50,tblItems[item_id],tblItems[item_name])</f>
        <v>Rotating Seal Ring</v>
      </c>
    </row>
    <row r="51" spans="1:7" x14ac:dyDescent="0.2">
      <c r="A51">
        <v>50</v>
      </c>
      <c r="B51">
        <v>4</v>
      </c>
      <c r="C51">
        <v>1</v>
      </c>
      <c r="D51">
        <v>3</v>
      </c>
      <c r="E51" s="1">
        <v>46224.41387715278</v>
      </c>
      <c r="F51" t="str">
        <f t="shared" si="1"/>
        <v>Healthy</v>
      </c>
      <c r="G51" t="str">
        <f>_xlfn.XLOOKUP(A51,tblItems[item_id],tblItems[item_name])</f>
        <v>Stationary Seal Ring</v>
      </c>
    </row>
    <row r="52" spans="1:7" x14ac:dyDescent="0.2">
      <c r="A52">
        <v>51</v>
      </c>
      <c r="B52">
        <v>6</v>
      </c>
      <c r="C52">
        <v>1</v>
      </c>
      <c r="D52">
        <v>5</v>
      </c>
      <c r="E52" s="1">
        <v>46224.41387715278</v>
      </c>
      <c r="F52" t="str">
        <f t="shared" si="1"/>
        <v>Healthy</v>
      </c>
      <c r="G52" t="str">
        <f>_xlfn.XLOOKUP(A52,tblItems[item_id],tblItems[item_name])</f>
        <v>Spring</v>
      </c>
    </row>
    <row r="53" spans="1:7" x14ac:dyDescent="0.2">
      <c r="A53">
        <v>52</v>
      </c>
      <c r="B53">
        <v>8</v>
      </c>
      <c r="C53">
        <v>2</v>
      </c>
      <c r="D53">
        <v>6</v>
      </c>
      <c r="E53" s="1">
        <v>46224.41387715278</v>
      </c>
      <c r="F53" t="str">
        <f t="shared" si="1"/>
        <v>Healthy</v>
      </c>
      <c r="G53" t="str">
        <f>_xlfn.XLOOKUP(A53,tblItems[item_id],tblItems[item_name])</f>
        <v>O-Ring</v>
      </c>
    </row>
    <row r="54" spans="1:7" x14ac:dyDescent="0.2">
      <c r="A54">
        <v>53</v>
      </c>
      <c r="B54">
        <v>4</v>
      </c>
      <c r="C54">
        <v>1</v>
      </c>
      <c r="D54">
        <v>3</v>
      </c>
      <c r="E54" s="1">
        <v>46224.41387715278</v>
      </c>
      <c r="F54" t="str">
        <f t="shared" si="1"/>
        <v>Healthy</v>
      </c>
      <c r="G54" t="str">
        <f>_xlfn.XLOOKUP(A54,tblItems[item_id],tblItems[item_name])</f>
        <v>Seal Retainer</v>
      </c>
    </row>
    <row r="55" spans="1:7" x14ac:dyDescent="0.2">
      <c r="A55">
        <v>54</v>
      </c>
      <c r="B55">
        <v>5</v>
      </c>
      <c r="C55">
        <v>1</v>
      </c>
      <c r="D55">
        <v>4</v>
      </c>
      <c r="E55" s="1">
        <v>46224.41387715278</v>
      </c>
      <c r="F55" t="str">
        <f t="shared" si="1"/>
        <v>Healthy</v>
      </c>
      <c r="G55" t="str">
        <f>_xlfn.XLOOKUP(A55,tblItems[item_id],tblItems[item_name])</f>
        <v>Drive Pin</v>
      </c>
    </row>
    <row r="56" spans="1:7" x14ac:dyDescent="0.2">
      <c r="A56">
        <v>55</v>
      </c>
      <c r="B56">
        <v>5</v>
      </c>
      <c r="C56">
        <v>1</v>
      </c>
      <c r="D56">
        <v>4</v>
      </c>
      <c r="E56" s="1">
        <v>46224.41387715278</v>
      </c>
      <c r="F56" t="str">
        <f t="shared" si="1"/>
        <v>Healthy</v>
      </c>
      <c r="G56" t="str">
        <f>_xlfn.XLOOKUP(A56,tblItems[item_id],tblItems[item_name])</f>
        <v>Retaining Clip</v>
      </c>
    </row>
    <row r="57" spans="1:7" x14ac:dyDescent="0.2">
      <c r="A57">
        <v>56</v>
      </c>
      <c r="B57">
        <v>2</v>
      </c>
      <c r="C57">
        <v>0</v>
      </c>
      <c r="D57">
        <v>2</v>
      </c>
      <c r="E57" s="1">
        <v>46224.41387715278</v>
      </c>
      <c r="F57" t="str">
        <f t="shared" si="1"/>
        <v>Low Stock</v>
      </c>
      <c r="G57" t="str">
        <f>_xlfn.XLOOKUP(A57,tblItems[item_id],tblItems[item_name])</f>
        <v>Motor Housing</v>
      </c>
    </row>
    <row r="58" spans="1:7" x14ac:dyDescent="0.2">
      <c r="A58">
        <v>57</v>
      </c>
      <c r="B58">
        <v>3</v>
      </c>
      <c r="C58">
        <v>0</v>
      </c>
      <c r="D58">
        <v>3</v>
      </c>
      <c r="E58" s="1">
        <v>46224.41387715278</v>
      </c>
      <c r="F58" t="str">
        <f t="shared" si="1"/>
        <v>Healthy</v>
      </c>
      <c r="G58" t="str">
        <f>_xlfn.XLOOKUP(A58,tblItems[item_id],tblItems[item_name])</f>
        <v>Fan Cover</v>
      </c>
    </row>
    <row r="59" spans="1:7" x14ac:dyDescent="0.2">
      <c r="A59">
        <v>58</v>
      </c>
      <c r="B59">
        <v>6</v>
      </c>
      <c r="C59">
        <v>1</v>
      </c>
      <c r="D59">
        <v>5</v>
      </c>
      <c r="E59" s="1">
        <v>46224.41387715278</v>
      </c>
      <c r="F59" t="str">
        <f t="shared" si="1"/>
        <v>Healthy</v>
      </c>
      <c r="G59" t="str">
        <f>_xlfn.XLOOKUP(A59,tblItems[item_id],tblItems[item_name])</f>
        <v>Nameplate</v>
      </c>
    </row>
    <row r="60" spans="1:7" x14ac:dyDescent="0.2">
      <c r="A60">
        <v>59</v>
      </c>
      <c r="B60">
        <v>5</v>
      </c>
      <c r="C60">
        <v>1</v>
      </c>
      <c r="D60">
        <v>4</v>
      </c>
      <c r="E60" s="1">
        <v>46224.41387715278</v>
      </c>
      <c r="F60" t="str">
        <f t="shared" si="1"/>
        <v>Healthy</v>
      </c>
      <c r="G60" t="str">
        <f>_xlfn.XLOOKUP(A60,tblItems[item_id],tblItems[item_name])</f>
        <v>Cable Gland</v>
      </c>
    </row>
    <row r="61" spans="1:7" x14ac:dyDescent="0.2">
      <c r="A61">
        <v>60</v>
      </c>
      <c r="B61">
        <v>8</v>
      </c>
      <c r="C61">
        <v>2</v>
      </c>
      <c r="D61">
        <v>6</v>
      </c>
      <c r="E61" s="1">
        <v>46224.41387715278</v>
      </c>
      <c r="F61" t="str">
        <f t="shared" si="1"/>
        <v>Healthy</v>
      </c>
      <c r="G61" t="str">
        <f>_xlfn.XLOOKUP(A61,tblItems[item_id],tblItems[item_name])</f>
        <v>Mounting Bolt</v>
      </c>
    </row>
    <row r="62" spans="1:7" x14ac:dyDescent="0.2">
      <c r="A62">
        <v>61</v>
      </c>
      <c r="B62">
        <v>8</v>
      </c>
      <c r="C62">
        <v>2</v>
      </c>
      <c r="D62">
        <v>6</v>
      </c>
      <c r="E62" s="1">
        <v>46224.41387715278</v>
      </c>
      <c r="F62" t="str">
        <f t="shared" si="1"/>
        <v>Healthy</v>
      </c>
      <c r="G62" t="str">
        <f>_xlfn.XLOOKUP(A62,tblItems[item_id],tblItems[item_name])</f>
        <v>Mounting Nut</v>
      </c>
    </row>
    <row r="63" spans="1:7" x14ac:dyDescent="0.2">
      <c r="A63">
        <v>62</v>
      </c>
      <c r="B63">
        <v>8</v>
      </c>
      <c r="C63">
        <v>2</v>
      </c>
      <c r="D63">
        <v>6</v>
      </c>
      <c r="E63" s="1">
        <v>46224.41387715278</v>
      </c>
      <c r="F63" t="str">
        <f t="shared" si="1"/>
        <v>Healthy</v>
      </c>
      <c r="G63" t="str">
        <f>_xlfn.XLOOKUP(A63,tblItems[item_id],tblItems[item_name])</f>
        <v>Lock Washer</v>
      </c>
    </row>
    <row r="64" spans="1:7" x14ac:dyDescent="0.2">
      <c r="A64">
        <v>63</v>
      </c>
      <c r="B64">
        <v>2</v>
      </c>
      <c r="C64">
        <v>0</v>
      </c>
      <c r="D64">
        <v>2</v>
      </c>
      <c r="E64" s="1">
        <v>46224.41387715278</v>
      </c>
      <c r="F64" t="str">
        <f t="shared" si="1"/>
        <v>Low Stock</v>
      </c>
      <c r="G64" t="str">
        <f>_xlfn.XLOOKUP(A64,tblItems[item_id],tblItems[item_name])</f>
        <v>Rotor Shaft</v>
      </c>
    </row>
    <row r="65" spans="1:7" x14ac:dyDescent="0.2">
      <c r="A65">
        <v>64</v>
      </c>
      <c r="B65">
        <v>2</v>
      </c>
      <c r="C65">
        <v>0</v>
      </c>
      <c r="D65">
        <v>2</v>
      </c>
      <c r="E65" s="1">
        <v>46224.41387715278</v>
      </c>
      <c r="F65" t="str">
        <f t="shared" si="1"/>
        <v>Low Stock</v>
      </c>
      <c r="G65" t="str">
        <f>_xlfn.XLOOKUP(A65,tblItems[item_id],tblItems[item_name])</f>
        <v>Rotor Core</v>
      </c>
    </row>
    <row r="66" spans="1:7" x14ac:dyDescent="0.2">
      <c r="A66">
        <v>65</v>
      </c>
      <c r="B66">
        <v>8</v>
      </c>
      <c r="C66">
        <v>2</v>
      </c>
      <c r="D66">
        <v>6</v>
      </c>
      <c r="E66" s="1">
        <v>46224.41387715278</v>
      </c>
      <c r="F66" t="str">
        <f t="shared" ref="F66:F86" si="2">IF(D66=0,"Out of Stock",IF(D66&lt;3,"Low Stock","Healthy"))</f>
        <v>Healthy</v>
      </c>
      <c r="G66" t="str">
        <f>_xlfn.XLOOKUP(A66,tblItems[item_id],tblItems[item_name])</f>
        <v>Copper Bars</v>
      </c>
    </row>
    <row r="67" spans="1:7" x14ac:dyDescent="0.2">
      <c r="A67">
        <v>66</v>
      </c>
      <c r="B67">
        <v>5</v>
      </c>
      <c r="C67">
        <v>1</v>
      </c>
      <c r="D67">
        <v>4</v>
      </c>
      <c r="E67" s="1">
        <v>46224.41387715278</v>
      </c>
      <c r="F67" t="str">
        <f t="shared" si="2"/>
        <v>Healthy</v>
      </c>
      <c r="G67" t="str">
        <f>_xlfn.XLOOKUP(A67,tblItems[item_id],tblItems[item_name])</f>
        <v>End Rings</v>
      </c>
    </row>
    <row r="68" spans="1:7" x14ac:dyDescent="0.2">
      <c r="A68">
        <v>67</v>
      </c>
      <c r="B68">
        <v>5</v>
      </c>
      <c r="C68">
        <v>1</v>
      </c>
      <c r="D68">
        <v>4</v>
      </c>
      <c r="E68" s="1">
        <v>46224.41387715278</v>
      </c>
      <c r="F68" t="str">
        <f t="shared" si="2"/>
        <v>Healthy</v>
      </c>
      <c r="G68" t="str">
        <f>_xlfn.XLOOKUP(A68,tblItems[item_id],tblItems[item_name])</f>
        <v>Rotor Retaining Ring</v>
      </c>
    </row>
    <row r="69" spans="1:7" x14ac:dyDescent="0.2">
      <c r="A69">
        <v>68</v>
      </c>
      <c r="B69">
        <v>6</v>
      </c>
      <c r="C69">
        <v>1</v>
      </c>
      <c r="D69">
        <v>5</v>
      </c>
      <c r="E69" s="1">
        <v>46224.41387715278</v>
      </c>
      <c r="F69" t="str">
        <f t="shared" si="2"/>
        <v>Healthy</v>
      </c>
      <c r="G69" t="str">
        <f>_xlfn.XLOOKUP(A69,tblItems[item_id],tblItems[item_name])</f>
        <v>Balancing Weight</v>
      </c>
    </row>
    <row r="70" spans="1:7" x14ac:dyDescent="0.2">
      <c r="A70">
        <v>69</v>
      </c>
      <c r="B70">
        <v>2</v>
      </c>
      <c r="C70">
        <v>0</v>
      </c>
      <c r="D70">
        <v>2</v>
      </c>
      <c r="E70" s="1">
        <v>46224.41387715278</v>
      </c>
      <c r="F70" t="str">
        <f t="shared" si="2"/>
        <v>Low Stock</v>
      </c>
      <c r="G70" t="str">
        <f>_xlfn.XLOOKUP(A70,tblItems[item_id],tblItems[item_name])</f>
        <v>Stator Core</v>
      </c>
    </row>
    <row r="71" spans="1:7" x14ac:dyDescent="0.2">
      <c r="A71">
        <v>70</v>
      </c>
      <c r="B71">
        <v>8</v>
      </c>
      <c r="C71">
        <v>2</v>
      </c>
      <c r="D71">
        <v>6</v>
      </c>
      <c r="E71" s="1">
        <v>46224.41387715278</v>
      </c>
      <c r="F71" t="str">
        <f t="shared" si="2"/>
        <v>Healthy</v>
      </c>
      <c r="G71" t="str">
        <f>_xlfn.XLOOKUP(A71,tblItems[item_id],tblItems[item_name])</f>
        <v>Copper Windings</v>
      </c>
    </row>
    <row r="72" spans="1:7" x14ac:dyDescent="0.2">
      <c r="A72">
        <v>71</v>
      </c>
      <c r="B72">
        <v>10</v>
      </c>
      <c r="C72">
        <v>2</v>
      </c>
      <c r="D72">
        <v>8</v>
      </c>
      <c r="E72" s="1">
        <v>46224.41387715278</v>
      </c>
      <c r="F72" t="str">
        <f t="shared" si="2"/>
        <v>Healthy</v>
      </c>
      <c r="G72" t="str">
        <f>_xlfn.XLOOKUP(A72,tblItems[item_id],tblItems[item_name])</f>
        <v>Insulation Paper</v>
      </c>
    </row>
    <row r="73" spans="1:7" x14ac:dyDescent="0.2">
      <c r="A73">
        <v>72</v>
      </c>
      <c r="B73">
        <v>8</v>
      </c>
      <c r="C73">
        <v>2</v>
      </c>
      <c r="D73">
        <v>6</v>
      </c>
      <c r="E73" s="1">
        <v>46224.41387715278</v>
      </c>
      <c r="F73" t="str">
        <f t="shared" si="2"/>
        <v>Healthy</v>
      </c>
      <c r="G73" t="str">
        <f>_xlfn.XLOOKUP(A73,tblItems[item_id],tblItems[item_name])</f>
        <v>Slot Wedges</v>
      </c>
    </row>
    <row r="74" spans="1:7" x14ac:dyDescent="0.2">
      <c r="A74">
        <v>73</v>
      </c>
      <c r="B74">
        <v>6</v>
      </c>
      <c r="C74">
        <v>1</v>
      </c>
      <c r="D74">
        <v>5</v>
      </c>
      <c r="E74" s="1">
        <v>46224.41387715278</v>
      </c>
      <c r="F74" t="str">
        <f t="shared" si="2"/>
        <v>Healthy</v>
      </c>
      <c r="G74" t="str">
        <f>_xlfn.XLOOKUP(A74,tblItems[item_id],tblItems[item_name])</f>
        <v>Terminal Leads</v>
      </c>
    </row>
    <row r="75" spans="1:7" x14ac:dyDescent="0.2">
      <c r="A75">
        <v>74</v>
      </c>
      <c r="B75">
        <v>5</v>
      </c>
      <c r="C75">
        <v>1</v>
      </c>
      <c r="D75">
        <v>4</v>
      </c>
      <c r="E75" s="1">
        <v>46224.41387715278</v>
      </c>
      <c r="F75" t="str">
        <f t="shared" si="2"/>
        <v>Healthy</v>
      </c>
      <c r="G75" t="str">
        <f>_xlfn.XLOOKUP(A75,tblItems[item_id],tblItems[item_name])</f>
        <v>Insulating Sleeves</v>
      </c>
    </row>
    <row r="76" spans="1:7" x14ac:dyDescent="0.2">
      <c r="A76">
        <v>75</v>
      </c>
      <c r="B76">
        <v>6</v>
      </c>
      <c r="C76">
        <v>1</v>
      </c>
      <c r="D76">
        <v>5</v>
      </c>
      <c r="E76" s="1">
        <v>46224.41387715278</v>
      </c>
      <c r="F76" t="str">
        <f t="shared" si="2"/>
        <v>Healthy</v>
      </c>
      <c r="G76" t="str">
        <f>_xlfn.XLOOKUP(A76,tblItems[item_id],tblItems[item_name])</f>
        <v>Cable Ties</v>
      </c>
    </row>
    <row r="77" spans="1:7" x14ac:dyDescent="0.2">
      <c r="A77">
        <v>76</v>
      </c>
      <c r="B77">
        <v>4</v>
      </c>
      <c r="C77">
        <v>1</v>
      </c>
      <c r="D77">
        <v>3</v>
      </c>
      <c r="E77" s="1">
        <v>46224.41387715278</v>
      </c>
      <c r="F77" t="str">
        <f t="shared" si="2"/>
        <v>Healthy</v>
      </c>
      <c r="G77" t="str">
        <f>_xlfn.XLOOKUP(A77,tblItems[item_id],tblItems[item_name])</f>
        <v>Varnish Pack</v>
      </c>
    </row>
    <row r="78" spans="1:7" x14ac:dyDescent="0.2">
      <c r="A78">
        <v>77</v>
      </c>
      <c r="B78">
        <v>4</v>
      </c>
      <c r="C78">
        <v>1</v>
      </c>
      <c r="D78">
        <v>3</v>
      </c>
      <c r="E78" s="1">
        <v>46224.41387715278</v>
      </c>
      <c r="F78" t="str">
        <f t="shared" si="2"/>
        <v>Healthy</v>
      </c>
      <c r="G78" t="str">
        <f>_xlfn.XLOOKUP(A78,tblItems[item_id],tblItems[item_name])</f>
        <v>Cooling Fan</v>
      </c>
    </row>
    <row r="79" spans="1:7" x14ac:dyDescent="0.2">
      <c r="A79">
        <v>78</v>
      </c>
      <c r="B79">
        <v>4</v>
      </c>
      <c r="C79">
        <v>1</v>
      </c>
      <c r="D79">
        <v>3</v>
      </c>
      <c r="E79" s="1">
        <v>46224.41387715278</v>
      </c>
      <c r="F79" t="str">
        <f t="shared" si="2"/>
        <v>Healthy</v>
      </c>
      <c r="G79" t="str">
        <f>_xlfn.XLOOKUP(A79,tblItems[item_id],tblItems[item_name])</f>
        <v>Fan Hub</v>
      </c>
    </row>
    <row r="80" spans="1:7" x14ac:dyDescent="0.2">
      <c r="A80">
        <v>79</v>
      </c>
      <c r="B80">
        <v>6</v>
      </c>
      <c r="C80">
        <v>1</v>
      </c>
      <c r="D80">
        <v>5</v>
      </c>
      <c r="E80" s="1">
        <v>46224.41387715278</v>
      </c>
      <c r="F80" t="str">
        <f t="shared" si="2"/>
        <v>Healthy</v>
      </c>
      <c r="G80" t="str">
        <f>_xlfn.XLOOKUP(A80,tblItems[item_id],tblItems[item_name])</f>
        <v>Set Screw</v>
      </c>
    </row>
    <row r="81" spans="1:7" x14ac:dyDescent="0.2">
      <c r="A81">
        <v>80</v>
      </c>
      <c r="B81">
        <v>4</v>
      </c>
      <c r="C81">
        <v>1</v>
      </c>
      <c r="D81">
        <v>3</v>
      </c>
      <c r="E81" s="1">
        <v>46224.41387715278</v>
      </c>
      <c r="F81" t="str">
        <f t="shared" si="2"/>
        <v>Healthy</v>
      </c>
      <c r="G81" t="str">
        <f>_xlfn.XLOOKUP(A81,tblItems[item_id],tblItems[item_name])</f>
        <v>Terminal Box</v>
      </c>
    </row>
    <row r="82" spans="1:7" x14ac:dyDescent="0.2">
      <c r="A82">
        <v>81</v>
      </c>
      <c r="B82">
        <v>5</v>
      </c>
      <c r="C82">
        <v>1</v>
      </c>
      <c r="D82">
        <v>4</v>
      </c>
      <c r="E82" s="1">
        <v>46224.41387715278</v>
      </c>
      <c r="F82" t="str">
        <f t="shared" si="2"/>
        <v>Healthy</v>
      </c>
      <c r="G82" t="str">
        <f>_xlfn.XLOOKUP(A82,tblItems[item_id],tblItems[item_name])</f>
        <v>Terminal Block</v>
      </c>
    </row>
    <row r="83" spans="1:7" x14ac:dyDescent="0.2">
      <c r="A83">
        <v>82</v>
      </c>
      <c r="B83">
        <v>5</v>
      </c>
      <c r="C83">
        <v>1</v>
      </c>
      <c r="D83">
        <v>4</v>
      </c>
      <c r="E83" s="1">
        <v>46224.41387715278</v>
      </c>
      <c r="F83" t="str">
        <f t="shared" si="2"/>
        <v>Healthy</v>
      </c>
      <c r="G83" t="str">
        <f>_xlfn.XLOOKUP(A83,tblItems[item_id],tblItems[item_name])</f>
        <v>Terminal Cover</v>
      </c>
    </row>
    <row r="84" spans="1:7" x14ac:dyDescent="0.2">
      <c r="A84">
        <v>83</v>
      </c>
      <c r="B84">
        <v>8</v>
      </c>
      <c r="C84">
        <v>2</v>
      </c>
      <c r="D84">
        <v>6</v>
      </c>
      <c r="E84" s="1">
        <v>46224.41387715278</v>
      </c>
      <c r="F84" t="str">
        <f t="shared" si="2"/>
        <v>Healthy</v>
      </c>
      <c r="G84" t="str">
        <f>_xlfn.XLOOKUP(A84,tblItems[item_id],tblItems[item_name])</f>
        <v>Terminal Screw</v>
      </c>
    </row>
    <row r="85" spans="1:7" x14ac:dyDescent="0.2">
      <c r="A85">
        <v>84</v>
      </c>
      <c r="B85">
        <v>8</v>
      </c>
      <c r="C85">
        <v>2</v>
      </c>
      <c r="D85">
        <v>6</v>
      </c>
      <c r="E85" s="1">
        <v>46224.41387715278</v>
      </c>
      <c r="F85" t="str">
        <f t="shared" si="2"/>
        <v>Healthy</v>
      </c>
      <c r="G85" t="str">
        <f>_xlfn.XLOOKUP(A85,tblItems[item_id],tblItems[item_name])</f>
        <v>Terminal Nut</v>
      </c>
    </row>
    <row r="86" spans="1:7" x14ac:dyDescent="0.2">
      <c r="A86">
        <v>85</v>
      </c>
      <c r="B86">
        <v>5</v>
      </c>
      <c r="C86">
        <v>1</v>
      </c>
      <c r="D86">
        <v>4</v>
      </c>
      <c r="E86" s="1">
        <v>46224.41387715278</v>
      </c>
      <c r="F86" t="str">
        <f t="shared" si="2"/>
        <v>Healthy</v>
      </c>
      <c r="G86" t="str">
        <f>_xlfn.XLOOKUP(A86,tblItems[item_id],tblItems[item_name])</f>
        <v>Cable Clamp</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2C9D-A9D5-994E-B2C5-FCC93266AC43}">
  <dimension ref="A1:G22"/>
  <sheetViews>
    <sheetView workbookViewId="0">
      <selection activeCell="K13" sqref="K13"/>
    </sheetView>
  </sheetViews>
  <sheetFormatPr baseColWidth="10" defaultRowHeight="16" x14ac:dyDescent="0.2"/>
  <cols>
    <col min="1" max="1" width="19" customWidth="1"/>
    <col min="2" max="2" width="22.83203125" bestFit="1" customWidth="1"/>
    <col min="3" max="3" width="9.6640625" customWidth="1"/>
    <col min="4" max="4" width="15.33203125" customWidth="1"/>
    <col min="5" max="5" width="12.33203125" customWidth="1"/>
    <col min="6" max="6" width="11" customWidth="1"/>
    <col min="7" max="7" width="14" customWidth="1"/>
  </cols>
  <sheetData>
    <row r="1" spans="1:7" x14ac:dyDescent="0.2">
      <c r="A1" t="s">
        <v>109</v>
      </c>
      <c r="B1" t="s">
        <v>110</v>
      </c>
      <c r="C1" t="s">
        <v>0</v>
      </c>
      <c r="D1" t="s">
        <v>111</v>
      </c>
      <c r="E1" t="s">
        <v>112</v>
      </c>
      <c r="F1" t="s">
        <v>113</v>
      </c>
      <c r="G1" t="s">
        <v>114</v>
      </c>
    </row>
    <row r="2" spans="1:7" x14ac:dyDescent="0.2">
      <c r="A2">
        <v>1</v>
      </c>
      <c r="B2" t="s">
        <v>115</v>
      </c>
      <c r="C2">
        <v>1</v>
      </c>
      <c r="D2">
        <v>5</v>
      </c>
      <c r="E2" s="2">
        <v>46235</v>
      </c>
      <c r="F2" s="2">
        <v>46244</v>
      </c>
      <c r="G2" t="s">
        <v>116</v>
      </c>
    </row>
    <row r="3" spans="1:7" x14ac:dyDescent="0.2">
      <c r="A3">
        <v>2</v>
      </c>
      <c r="B3" t="s">
        <v>117</v>
      </c>
      <c r="C3">
        <v>1</v>
      </c>
      <c r="D3">
        <v>3</v>
      </c>
      <c r="E3" s="2">
        <v>46236</v>
      </c>
      <c r="F3" s="2">
        <v>46246</v>
      </c>
      <c r="G3" t="s">
        <v>118</v>
      </c>
    </row>
    <row r="4" spans="1:7" x14ac:dyDescent="0.2">
      <c r="A4">
        <v>3</v>
      </c>
      <c r="B4" t="s">
        <v>119</v>
      </c>
      <c r="C4">
        <v>1</v>
      </c>
      <c r="D4">
        <v>8</v>
      </c>
      <c r="E4" s="2">
        <v>46237</v>
      </c>
      <c r="F4" s="2">
        <v>46249</v>
      </c>
      <c r="G4" t="s">
        <v>116</v>
      </c>
    </row>
    <row r="5" spans="1:7" x14ac:dyDescent="0.2">
      <c r="A5">
        <v>4</v>
      </c>
      <c r="B5" t="s">
        <v>120</v>
      </c>
      <c r="C5">
        <v>1</v>
      </c>
      <c r="D5">
        <v>2</v>
      </c>
      <c r="E5" s="2">
        <v>46239</v>
      </c>
      <c r="F5" s="2">
        <v>46247</v>
      </c>
      <c r="G5" t="s">
        <v>121</v>
      </c>
    </row>
    <row r="6" spans="1:7" x14ac:dyDescent="0.2">
      <c r="A6">
        <v>5</v>
      </c>
      <c r="B6" t="s">
        <v>122</v>
      </c>
      <c r="C6">
        <v>1</v>
      </c>
      <c r="D6">
        <v>6</v>
      </c>
      <c r="E6" s="2">
        <v>46240</v>
      </c>
      <c r="F6" s="2">
        <v>46252</v>
      </c>
      <c r="G6" t="s">
        <v>116</v>
      </c>
    </row>
    <row r="7" spans="1:7" x14ac:dyDescent="0.2">
      <c r="A7">
        <v>6</v>
      </c>
      <c r="B7" t="s">
        <v>123</v>
      </c>
      <c r="C7">
        <v>1</v>
      </c>
      <c r="D7">
        <v>4</v>
      </c>
      <c r="E7" s="2">
        <v>46242</v>
      </c>
      <c r="F7" s="2">
        <v>46251</v>
      </c>
      <c r="G7" t="s">
        <v>118</v>
      </c>
    </row>
    <row r="8" spans="1:7" x14ac:dyDescent="0.2">
      <c r="A8">
        <v>7</v>
      </c>
      <c r="B8" t="s">
        <v>124</v>
      </c>
      <c r="C8">
        <v>1</v>
      </c>
      <c r="D8">
        <v>7</v>
      </c>
      <c r="E8" s="2">
        <v>46243</v>
      </c>
      <c r="F8" s="2">
        <v>46254</v>
      </c>
      <c r="G8" t="s">
        <v>116</v>
      </c>
    </row>
    <row r="9" spans="1:7" x14ac:dyDescent="0.2">
      <c r="A9">
        <v>8</v>
      </c>
      <c r="B9" t="s">
        <v>125</v>
      </c>
      <c r="C9">
        <v>1</v>
      </c>
      <c r="D9">
        <v>3</v>
      </c>
      <c r="E9" s="2">
        <v>46244</v>
      </c>
      <c r="F9" s="2">
        <v>46253</v>
      </c>
      <c r="G9" t="s">
        <v>126</v>
      </c>
    </row>
    <row r="10" spans="1:7" x14ac:dyDescent="0.2">
      <c r="A10">
        <v>9</v>
      </c>
      <c r="B10" t="s">
        <v>127</v>
      </c>
      <c r="C10">
        <v>1</v>
      </c>
      <c r="D10">
        <v>9</v>
      </c>
      <c r="E10" s="2">
        <v>46245</v>
      </c>
      <c r="F10" s="2">
        <v>46259</v>
      </c>
      <c r="G10" t="s">
        <v>116</v>
      </c>
    </row>
    <row r="11" spans="1:7" x14ac:dyDescent="0.2">
      <c r="A11">
        <v>10</v>
      </c>
      <c r="B11" t="s">
        <v>128</v>
      </c>
      <c r="C11">
        <v>1</v>
      </c>
      <c r="D11">
        <v>4</v>
      </c>
      <c r="E11" s="2">
        <v>46246</v>
      </c>
      <c r="F11" s="2">
        <v>46256</v>
      </c>
      <c r="G11" t="s">
        <v>118</v>
      </c>
    </row>
    <row r="12" spans="1:7" x14ac:dyDescent="0.2">
      <c r="A12">
        <v>11</v>
      </c>
      <c r="B12" t="s">
        <v>175</v>
      </c>
      <c r="C12">
        <v>1</v>
      </c>
      <c r="D12">
        <v>7</v>
      </c>
      <c r="E12" s="2">
        <v>46249</v>
      </c>
      <c r="F12" s="2">
        <v>46255</v>
      </c>
      <c r="G12" t="s">
        <v>126</v>
      </c>
    </row>
    <row r="13" spans="1:7" x14ac:dyDescent="0.2">
      <c r="E13" s="2"/>
      <c r="F13" s="2"/>
    </row>
    <row r="14" spans="1:7" x14ac:dyDescent="0.2">
      <c r="E14" s="2"/>
      <c r="F14" s="2"/>
    </row>
    <row r="15" spans="1:7" x14ac:dyDescent="0.2">
      <c r="E15" s="2"/>
      <c r="F15" s="2"/>
    </row>
    <row r="16" spans="1:7" x14ac:dyDescent="0.2">
      <c r="E16" s="2"/>
      <c r="F16" s="2"/>
    </row>
    <row r="17" spans="5:6" x14ac:dyDescent="0.2">
      <c r="E17" s="2"/>
      <c r="F17" s="2"/>
    </row>
    <row r="18" spans="5:6" x14ac:dyDescent="0.2">
      <c r="E18" s="2"/>
      <c r="F18" s="2"/>
    </row>
    <row r="19" spans="5:6" x14ac:dyDescent="0.2">
      <c r="E19" s="2"/>
      <c r="F19" s="2"/>
    </row>
    <row r="20" spans="5:6" x14ac:dyDescent="0.2">
      <c r="E20" s="2"/>
      <c r="F20" s="2"/>
    </row>
    <row r="21" spans="5:6" x14ac:dyDescent="0.2">
      <c r="E21" s="2"/>
      <c r="F21" s="2"/>
    </row>
    <row r="22" spans="5:6" x14ac:dyDescent="0.2">
      <c r="E22" s="2"/>
      <c r="F22"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8C05-47B2-8840-8B45-4D97290A877E}">
  <dimension ref="A1:G11"/>
  <sheetViews>
    <sheetView workbookViewId="0">
      <selection activeCell="M8" sqref="M8"/>
    </sheetView>
  </sheetViews>
  <sheetFormatPr baseColWidth="10" defaultRowHeight="16" x14ac:dyDescent="0.2"/>
  <cols>
    <col min="1" max="1" width="12.5" customWidth="1"/>
    <col min="2" max="2" width="23.5" bestFit="1" customWidth="1"/>
    <col min="4" max="4" width="9.6640625" customWidth="1"/>
    <col min="5" max="5" width="22.83203125" bestFit="1" customWidth="1"/>
    <col min="6" max="6" width="9.83203125" bestFit="1" customWidth="1"/>
    <col min="7" max="7" width="10.83203125" customWidth="1"/>
  </cols>
  <sheetData>
    <row r="1" spans="1:7" x14ac:dyDescent="0.2">
      <c r="A1" t="s">
        <v>5</v>
      </c>
      <c r="B1" t="s">
        <v>129</v>
      </c>
      <c r="C1" t="s">
        <v>130</v>
      </c>
      <c r="D1" t="s">
        <v>131</v>
      </c>
      <c r="E1" t="s">
        <v>132</v>
      </c>
      <c r="F1" t="s">
        <v>133</v>
      </c>
      <c r="G1" t="s">
        <v>7</v>
      </c>
    </row>
    <row r="2" spans="1:7" x14ac:dyDescent="0.2">
      <c r="A2">
        <v>1</v>
      </c>
      <c r="B2" t="s">
        <v>134</v>
      </c>
      <c r="C2" t="s">
        <v>135</v>
      </c>
      <c r="D2" t="s">
        <v>136</v>
      </c>
      <c r="E2" t="s">
        <v>137</v>
      </c>
      <c r="F2">
        <f>91-20-40010001</f>
        <v>-40009930</v>
      </c>
      <c r="G2" t="b">
        <v>1</v>
      </c>
    </row>
    <row r="3" spans="1:7" x14ac:dyDescent="0.2">
      <c r="A3">
        <v>2</v>
      </c>
      <c r="B3" t="s">
        <v>138</v>
      </c>
      <c r="C3" t="s">
        <v>139</v>
      </c>
      <c r="D3" t="s">
        <v>136</v>
      </c>
      <c r="E3" t="s">
        <v>140</v>
      </c>
      <c r="F3">
        <f>91-80-40010002</f>
        <v>-40009991</v>
      </c>
      <c r="G3" t="b">
        <v>1</v>
      </c>
    </row>
    <row r="4" spans="1:7" x14ac:dyDescent="0.2">
      <c r="A4">
        <v>3</v>
      </c>
      <c r="B4" t="s">
        <v>141</v>
      </c>
      <c r="C4" t="s">
        <v>142</v>
      </c>
      <c r="D4" t="s">
        <v>136</v>
      </c>
      <c r="E4" t="s">
        <v>143</v>
      </c>
      <c r="F4">
        <f>91-44-40010003</f>
        <v>-40009956</v>
      </c>
      <c r="G4" t="b">
        <v>1</v>
      </c>
    </row>
    <row r="5" spans="1:7" x14ac:dyDescent="0.2">
      <c r="A5">
        <v>4</v>
      </c>
      <c r="B5" t="s">
        <v>144</v>
      </c>
      <c r="C5" t="s">
        <v>145</v>
      </c>
      <c r="D5" t="s">
        <v>136</v>
      </c>
      <c r="E5" t="s">
        <v>146</v>
      </c>
      <c r="F5">
        <f>91-657-4001004</f>
        <v>-4001570</v>
      </c>
      <c r="G5" t="b">
        <v>1</v>
      </c>
    </row>
    <row r="6" spans="1:7" x14ac:dyDescent="0.2">
      <c r="A6">
        <v>5</v>
      </c>
      <c r="B6" t="s">
        <v>147</v>
      </c>
      <c r="C6" t="s">
        <v>148</v>
      </c>
      <c r="D6" t="s">
        <v>136</v>
      </c>
      <c r="E6" t="s">
        <v>149</v>
      </c>
      <c r="F6">
        <f>91-22-40010005</f>
        <v>-40009936</v>
      </c>
      <c r="G6" t="b">
        <v>1</v>
      </c>
    </row>
    <row r="7" spans="1:7" x14ac:dyDescent="0.2">
      <c r="A7">
        <v>6</v>
      </c>
      <c r="B7" t="s">
        <v>150</v>
      </c>
      <c r="C7" t="s">
        <v>151</v>
      </c>
      <c r="D7" t="s">
        <v>136</v>
      </c>
      <c r="E7" t="s">
        <v>152</v>
      </c>
      <c r="F7">
        <f>91-265-40010006</f>
        <v>-40010180</v>
      </c>
      <c r="G7" t="b">
        <v>1</v>
      </c>
    </row>
    <row r="8" spans="1:7" x14ac:dyDescent="0.2">
      <c r="A8">
        <v>7</v>
      </c>
      <c r="B8" t="s">
        <v>153</v>
      </c>
      <c r="C8" t="s">
        <v>142</v>
      </c>
      <c r="D8" t="s">
        <v>136</v>
      </c>
      <c r="E8" t="s">
        <v>154</v>
      </c>
      <c r="F8">
        <f>91-44-40010007</f>
        <v>-40009960</v>
      </c>
      <c r="G8" t="b">
        <v>1</v>
      </c>
    </row>
    <row r="9" spans="1:7" x14ac:dyDescent="0.2">
      <c r="A9">
        <v>8</v>
      </c>
      <c r="B9" t="s">
        <v>155</v>
      </c>
      <c r="C9" t="s">
        <v>156</v>
      </c>
      <c r="D9" t="s">
        <v>136</v>
      </c>
      <c r="E9" t="s">
        <v>157</v>
      </c>
      <c r="F9">
        <f>91-161-40010008</f>
        <v>-40010078</v>
      </c>
      <c r="G9" t="b">
        <v>1</v>
      </c>
    </row>
    <row r="10" spans="1:7" x14ac:dyDescent="0.2">
      <c r="A10">
        <v>9</v>
      </c>
      <c r="B10" t="s">
        <v>158</v>
      </c>
      <c r="C10" t="s">
        <v>159</v>
      </c>
      <c r="D10" t="s">
        <v>136</v>
      </c>
      <c r="E10" t="s">
        <v>160</v>
      </c>
      <c r="F10">
        <f>91-120-40010009</f>
        <v>-40010038</v>
      </c>
      <c r="G10" t="b">
        <v>1</v>
      </c>
    </row>
    <row r="11" spans="1:7" x14ac:dyDescent="0.2">
      <c r="A11">
        <v>10</v>
      </c>
      <c r="B11" t="s">
        <v>161</v>
      </c>
      <c r="C11" t="s">
        <v>162</v>
      </c>
      <c r="D11" t="s">
        <v>136</v>
      </c>
      <c r="E11" t="s">
        <v>163</v>
      </c>
      <c r="F11">
        <f>91-11-40010010</f>
        <v>-40009930</v>
      </c>
      <c r="G11" t="b">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594D-D6CD-EA42-8BBC-7971FE947399}">
  <dimension ref="A1:F89"/>
  <sheetViews>
    <sheetView workbookViewId="0">
      <selection activeCell="P15" sqref="P15"/>
    </sheetView>
  </sheetViews>
  <sheetFormatPr baseColWidth="10" defaultRowHeight="16" x14ac:dyDescent="0.2"/>
  <sheetData>
    <row r="1" spans="1:6" x14ac:dyDescent="0.2">
      <c r="A1" t="s">
        <v>169</v>
      </c>
      <c r="B1" t="s">
        <v>170</v>
      </c>
      <c r="C1" t="s">
        <v>174</v>
      </c>
      <c r="D1" t="s">
        <v>171</v>
      </c>
      <c r="E1" t="s">
        <v>172</v>
      </c>
      <c r="F1" t="s">
        <v>173</v>
      </c>
    </row>
    <row r="2" spans="1:6" x14ac:dyDescent="0.2">
      <c r="A2" cm="1">
        <f t="array" ref="A2:A89">tblBOM[parent_item_id]</f>
        <v>1</v>
      </c>
      <c r="B2" cm="1">
        <f t="array" ref="B2:B89">tblBOM[child_item_id]</f>
        <v>2</v>
      </c>
      <c r="C2" cm="1">
        <f t="array" ref="C2:C89">tblBOM[quantity_required]</f>
        <v>1</v>
      </c>
      <c r="D2" cm="1">
        <f t="array" ref="D2:D89">_xlfn.XLOOKUP(_xlfn.ANCHORARRAY(A2), MRP!A:A, MRP!G:G)</f>
        <v>46</v>
      </c>
      <c r="E2" cm="1">
        <f t="array" ref="E2:E89">_xlfn.ANCHORARRAY(C2)*_xlfn.ANCHORARRAY(D2)</f>
        <v>46</v>
      </c>
      <c r="F2" cm="1">
        <f t="array" ref="F2:F89">_xlfn.XLOOKUP(_xlfn.ANCHORARRAY(B2), tblItems[item_id], tblItems[item_level])</f>
        <v>1</v>
      </c>
    </row>
    <row r="3" spans="1:6" x14ac:dyDescent="0.2">
      <c r="A3">
        <v>1</v>
      </c>
      <c r="B3">
        <v>3</v>
      </c>
      <c r="C3">
        <v>1</v>
      </c>
      <c r="D3">
        <v>46</v>
      </c>
      <c r="E3">
        <v>46</v>
      </c>
      <c r="F3">
        <v>1</v>
      </c>
    </row>
    <row r="4" spans="1:6" x14ac:dyDescent="0.2">
      <c r="A4">
        <v>1</v>
      </c>
      <c r="B4">
        <v>4</v>
      </c>
      <c r="C4">
        <v>1</v>
      </c>
      <c r="D4">
        <v>46</v>
      </c>
      <c r="E4">
        <v>46</v>
      </c>
      <c r="F4">
        <v>1</v>
      </c>
    </row>
    <row r="5" spans="1:6" x14ac:dyDescent="0.2">
      <c r="A5">
        <v>1</v>
      </c>
      <c r="B5">
        <v>5</v>
      </c>
      <c r="C5">
        <v>1</v>
      </c>
      <c r="D5">
        <v>46</v>
      </c>
      <c r="E5">
        <v>46</v>
      </c>
      <c r="F5">
        <v>1</v>
      </c>
    </row>
    <row r="6" spans="1:6" x14ac:dyDescent="0.2">
      <c r="A6">
        <v>2</v>
      </c>
      <c r="B6">
        <v>6</v>
      </c>
      <c r="C6">
        <v>1</v>
      </c>
      <c r="D6">
        <v>46</v>
      </c>
      <c r="E6">
        <v>46</v>
      </c>
      <c r="F6">
        <v>2</v>
      </c>
    </row>
    <row r="7" spans="1:6" x14ac:dyDescent="0.2">
      <c r="A7">
        <v>2</v>
      </c>
      <c r="B7">
        <v>7</v>
      </c>
      <c r="C7">
        <v>1</v>
      </c>
      <c r="D7">
        <v>46</v>
      </c>
      <c r="E7">
        <v>46</v>
      </c>
      <c r="F7">
        <v>2</v>
      </c>
    </row>
    <row r="8" spans="1:6" x14ac:dyDescent="0.2">
      <c r="A8">
        <v>2</v>
      </c>
      <c r="B8">
        <v>8</v>
      </c>
      <c r="C8">
        <v>1</v>
      </c>
      <c r="D8">
        <v>46</v>
      </c>
      <c r="E8">
        <v>46</v>
      </c>
      <c r="F8">
        <v>2</v>
      </c>
    </row>
    <row r="9" spans="1:6" x14ac:dyDescent="0.2">
      <c r="A9">
        <v>2</v>
      </c>
      <c r="B9">
        <v>9</v>
      </c>
      <c r="C9">
        <v>1</v>
      </c>
      <c r="D9">
        <v>46</v>
      </c>
      <c r="E9">
        <v>46</v>
      </c>
      <c r="F9">
        <v>2</v>
      </c>
    </row>
    <row r="10" spans="1:6" x14ac:dyDescent="0.2">
      <c r="A10">
        <v>2</v>
      </c>
      <c r="B10">
        <v>10</v>
      </c>
      <c r="C10">
        <v>1</v>
      </c>
      <c r="D10">
        <v>46</v>
      </c>
      <c r="E10">
        <v>46</v>
      </c>
      <c r="F10">
        <v>2</v>
      </c>
    </row>
    <row r="11" spans="1:6" x14ac:dyDescent="0.2">
      <c r="A11">
        <v>3</v>
      </c>
      <c r="B11">
        <v>11</v>
      </c>
      <c r="C11">
        <v>1</v>
      </c>
      <c r="D11">
        <v>46</v>
      </c>
      <c r="E11">
        <v>46</v>
      </c>
      <c r="F11">
        <v>2</v>
      </c>
    </row>
    <row r="12" spans="1:6" x14ac:dyDescent="0.2">
      <c r="A12">
        <v>3</v>
      </c>
      <c r="B12">
        <v>12</v>
      </c>
      <c r="C12">
        <v>1</v>
      </c>
      <c r="D12">
        <v>46</v>
      </c>
      <c r="E12">
        <v>46</v>
      </c>
      <c r="F12">
        <v>2</v>
      </c>
    </row>
    <row r="13" spans="1:6" x14ac:dyDescent="0.2">
      <c r="A13">
        <v>3</v>
      </c>
      <c r="B13">
        <v>13</v>
      </c>
      <c r="C13">
        <v>1</v>
      </c>
      <c r="D13">
        <v>46</v>
      </c>
      <c r="E13">
        <v>46</v>
      </c>
      <c r="F13">
        <v>2</v>
      </c>
    </row>
    <row r="14" spans="1:6" x14ac:dyDescent="0.2">
      <c r="A14">
        <v>3</v>
      </c>
      <c r="B14">
        <v>14</v>
      </c>
      <c r="C14">
        <v>1</v>
      </c>
      <c r="D14">
        <v>46</v>
      </c>
      <c r="E14">
        <v>46</v>
      </c>
      <c r="F14">
        <v>2</v>
      </c>
    </row>
    <row r="15" spans="1:6" x14ac:dyDescent="0.2">
      <c r="A15">
        <v>3</v>
      </c>
      <c r="B15">
        <v>15</v>
      </c>
      <c r="C15">
        <v>1</v>
      </c>
      <c r="D15">
        <v>46</v>
      </c>
      <c r="E15">
        <v>46</v>
      </c>
      <c r="F15">
        <v>2</v>
      </c>
    </row>
    <row r="16" spans="1:6" x14ac:dyDescent="0.2">
      <c r="A16">
        <v>4</v>
      </c>
      <c r="B16">
        <v>16</v>
      </c>
      <c r="C16">
        <v>1</v>
      </c>
      <c r="D16">
        <v>46</v>
      </c>
      <c r="E16">
        <v>46</v>
      </c>
      <c r="F16">
        <v>2</v>
      </c>
    </row>
    <row r="17" spans="1:6" x14ac:dyDescent="0.2">
      <c r="A17">
        <v>4</v>
      </c>
      <c r="B17">
        <v>17</v>
      </c>
      <c r="C17">
        <v>2</v>
      </c>
      <c r="D17">
        <v>46</v>
      </c>
      <c r="E17">
        <v>92</v>
      </c>
      <c r="F17">
        <v>2</v>
      </c>
    </row>
    <row r="18" spans="1:6" x14ac:dyDescent="0.2">
      <c r="A18">
        <v>4</v>
      </c>
      <c r="B18">
        <v>18</v>
      </c>
      <c r="C18">
        <v>1</v>
      </c>
      <c r="D18">
        <v>46</v>
      </c>
      <c r="E18">
        <v>46</v>
      </c>
      <c r="F18">
        <v>2</v>
      </c>
    </row>
    <row r="19" spans="1:6" x14ac:dyDescent="0.2">
      <c r="A19">
        <v>4</v>
      </c>
      <c r="B19">
        <v>19</v>
      </c>
      <c r="C19">
        <v>4</v>
      </c>
      <c r="D19">
        <v>46</v>
      </c>
      <c r="E19">
        <v>184</v>
      </c>
      <c r="F19">
        <v>2</v>
      </c>
    </row>
    <row r="20" spans="1:6" x14ac:dyDescent="0.2">
      <c r="A20">
        <v>4</v>
      </c>
      <c r="B20">
        <v>20</v>
      </c>
      <c r="C20">
        <v>4</v>
      </c>
      <c r="D20">
        <v>46</v>
      </c>
      <c r="E20">
        <v>184</v>
      </c>
      <c r="F20">
        <v>2</v>
      </c>
    </row>
    <row r="21" spans="1:6" x14ac:dyDescent="0.2">
      <c r="A21">
        <v>4</v>
      </c>
      <c r="B21">
        <v>21</v>
      </c>
      <c r="C21">
        <v>4</v>
      </c>
      <c r="D21">
        <v>46</v>
      </c>
      <c r="E21">
        <v>184</v>
      </c>
      <c r="F21">
        <v>2</v>
      </c>
    </row>
    <row r="22" spans="1:6" x14ac:dyDescent="0.2">
      <c r="A22">
        <v>4</v>
      </c>
      <c r="B22">
        <v>22</v>
      </c>
      <c r="C22">
        <v>4</v>
      </c>
      <c r="D22">
        <v>46</v>
      </c>
      <c r="E22">
        <v>184</v>
      </c>
      <c r="F22">
        <v>2</v>
      </c>
    </row>
    <row r="23" spans="1:6" x14ac:dyDescent="0.2">
      <c r="A23">
        <v>5</v>
      </c>
      <c r="B23">
        <v>23</v>
      </c>
      <c r="C23">
        <v>1</v>
      </c>
      <c r="D23">
        <v>46</v>
      </c>
      <c r="E23">
        <v>46</v>
      </c>
      <c r="F23">
        <v>2</v>
      </c>
    </row>
    <row r="24" spans="1:6" x14ac:dyDescent="0.2">
      <c r="A24">
        <v>5</v>
      </c>
      <c r="B24">
        <v>24</v>
      </c>
      <c r="C24">
        <v>2</v>
      </c>
      <c r="D24">
        <v>46</v>
      </c>
      <c r="E24">
        <v>92</v>
      </c>
      <c r="F24">
        <v>2</v>
      </c>
    </row>
    <row r="25" spans="1:6" x14ac:dyDescent="0.2">
      <c r="A25">
        <v>5</v>
      </c>
      <c r="B25">
        <v>25</v>
      </c>
      <c r="C25">
        <v>1</v>
      </c>
      <c r="D25">
        <v>46</v>
      </c>
      <c r="E25">
        <v>46</v>
      </c>
      <c r="F25">
        <v>2</v>
      </c>
    </row>
    <row r="26" spans="1:6" x14ac:dyDescent="0.2">
      <c r="A26">
        <v>5</v>
      </c>
      <c r="B26">
        <v>26</v>
      </c>
      <c r="C26">
        <v>1</v>
      </c>
      <c r="D26">
        <v>46</v>
      </c>
      <c r="E26">
        <v>46</v>
      </c>
      <c r="F26">
        <v>2</v>
      </c>
    </row>
    <row r="27" spans="1:6" x14ac:dyDescent="0.2">
      <c r="A27">
        <v>5</v>
      </c>
      <c r="B27">
        <v>27</v>
      </c>
      <c r="C27">
        <v>1</v>
      </c>
      <c r="D27">
        <v>46</v>
      </c>
      <c r="E27">
        <v>46</v>
      </c>
      <c r="F27">
        <v>2</v>
      </c>
    </row>
    <row r="28" spans="1:6" x14ac:dyDescent="0.2">
      <c r="A28">
        <v>5</v>
      </c>
      <c r="B28">
        <v>28</v>
      </c>
      <c r="C28">
        <v>2</v>
      </c>
      <c r="D28">
        <v>46</v>
      </c>
      <c r="E28">
        <v>92</v>
      </c>
      <c r="F28">
        <v>2</v>
      </c>
    </row>
    <row r="29" spans="1:6" x14ac:dyDescent="0.2">
      <c r="A29">
        <v>6</v>
      </c>
      <c r="B29">
        <v>29</v>
      </c>
      <c r="C29">
        <v>1</v>
      </c>
      <c r="D29">
        <v>45</v>
      </c>
      <c r="E29">
        <v>45</v>
      </c>
      <c r="F29">
        <v>3</v>
      </c>
    </row>
    <row r="30" spans="1:6" x14ac:dyDescent="0.2">
      <c r="A30">
        <v>6</v>
      </c>
      <c r="B30">
        <v>30</v>
      </c>
      <c r="C30">
        <v>1</v>
      </c>
      <c r="D30">
        <v>45</v>
      </c>
      <c r="E30">
        <v>45</v>
      </c>
      <c r="F30">
        <v>3</v>
      </c>
    </row>
    <row r="31" spans="1:6" x14ac:dyDescent="0.2">
      <c r="A31">
        <v>6</v>
      </c>
      <c r="B31">
        <v>31</v>
      </c>
      <c r="C31">
        <v>2</v>
      </c>
      <c r="D31">
        <v>45</v>
      </c>
      <c r="E31">
        <v>90</v>
      </c>
      <c r="F31">
        <v>3</v>
      </c>
    </row>
    <row r="32" spans="1:6" x14ac:dyDescent="0.2">
      <c r="A32">
        <v>6</v>
      </c>
      <c r="B32">
        <v>32</v>
      </c>
      <c r="C32">
        <v>1</v>
      </c>
      <c r="D32">
        <v>45</v>
      </c>
      <c r="E32">
        <v>45</v>
      </c>
      <c r="F32">
        <v>3</v>
      </c>
    </row>
    <row r="33" spans="1:6" x14ac:dyDescent="0.2">
      <c r="A33">
        <v>6</v>
      </c>
      <c r="B33">
        <v>33</v>
      </c>
      <c r="C33">
        <v>2</v>
      </c>
      <c r="D33">
        <v>45</v>
      </c>
      <c r="E33">
        <v>90</v>
      </c>
      <c r="F33">
        <v>3</v>
      </c>
    </row>
    <row r="34" spans="1:6" x14ac:dyDescent="0.2">
      <c r="A34">
        <v>6</v>
      </c>
      <c r="B34">
        <v>34</v>
      </c>
      <c r="C34">
        <v>12</v>
      </c>
      <c r="D34">
        <v>45</v>
      </c>
      <c r="E34">
        <v>540</v>
      </c>
      <c r="F34">
        <v>3</v>
      </c>
    </row>
    <row r="35" spans="1:6" x14ac:dyDescent="0.2">
      <c r="A35">
        <v>6</v>
      </c>
      <c r="B35">
        <v>35</v>
      </c>
      <c r="C35">
        <v>12</v>
      </c>
      <c r="D35">
        <v>45</v>
      </c>
      <c r="E35">
        <v>540</v>
      </c>
      <c r="F35">
        <v>3</v>
      </c>
    </row>
    <row r="36" spans="1:6" x14ac:dyDescent="0.2">
      <c r="A36">
        <v>6</v>
      </c>
      <c r="B36">
        <v>36</v>
      </c>
      <c r="C36">
        <v>12</v>
      </c>
      <c r="D36">
        <v>45</v>
      </c>
      <c r="E36">
        <v>540</v>
      </c>
      <c r="F36">
        <v>3</v>
      </c>
    </row>
    <row r="37" spans="1:6" x14ac:dyDescent="0.2">
      <c r="A37">
        <v>6</v>
      </c>
      <c r="B37">
        <v>37</v>
      </c>
      <c r="C37">
        <v>12</v>
      </c>
      <c r="D37">
        <v>45</v>
      </c>
      <c r="E37">
        <v>540</v>
      </c>
      <c r="F37">
        <v>3</v>
      </c>
    </row>
    <row r="38" spans="1:6" x14ac:dyDescent="0.2">
      <c r="A38">
        <v>7</v>
      </c>
      <c r="B38">
        <v>38</v>
      </c>
      <c r="C38">
        <v>1</v>
      </c>
      <c r="D38">
        <v>46</v>
      </c>
      <c r="E38">
        <v>46</v>
      </c>
      <c r="F38">
        <v>3</v>
      </c>
    </row>
    <row r="39" spans="1:6" x14ac:dyDescent="0.2">
      <c r="A39">
        <v>7</v>
      </c>
      <c r="B39">
        <v>39</v>
      </c>
      <c r="C39">
        <v>1</v>
      </c>
      <c r="D39">
        <v>46</v>
      </c>
      <c r="E39">
        <v>46</v>
      </c>
      <c r="F39">
        <v>3</v>
      </c>
    </row>
    <row r="40" spans="1:6" x14ac:dyDescent="0.2">
      <c r="A40">
        <v>7</v>
      </c>
      <c r="B40">
        <v>40</v>
      </c>
      <c r="C40">
        <v>1</v>
      </c>
      <c r="D40">
        <v>46</v>
      </c>
      <c r="E40">
        <v>46</v>
      </c>
      <c r="F40">
        <v>3</v>
      </c>
    </row>
    <row r="41" spans="1:6" x14ac:dyDescent="0.2">
      <c r="A41">
        <v>7</v>
      </c>
      <c r="B41">
        <v>41</v>
      </c>
      <c r="C41">
        <v>1</v>
      </c>
      <c r="D41">
        <v>46</v>
      </c>
      <c r="E41">
        <v>46</v>
      </c>
      <c r="F41">
        <v>3</v>
      </c>
    </row>
    <row r="42" spans="1:6" x14ac:dyDescent="0.2">
      <c r="A42">
        <v>7</v>
      </c>
      <c r="B42">
        <v>42</v>
      </c>
      <c r="C42">
        <v>1</v>
      </c>
      <c r="D42">
        <v>46</v>
      </c>
      <c r="E42">
        <v>46</v>
      </c>
      <c r="F42">
        <v>3</v>
      </c>
    </row>
    <row r="43" spans="1:6" x14ac:dyDescent="0.2">
      <c r="A43">
        <v>7</v>
      </c>
      <c r="B43">
        <v>43</v>
      </c>
      <c r="C43">
        <v>1</v>
      </c>
      <c r="D43">
        <v>46</v>
      </c>
      <c r="E43">
        <v>46</v>
      </c>
      <c r="F43">
        <v>3</v>
      </c>
    </row>
    <row r="44" spans="1:6" x14ac:dyDescent="0.2">
      <c r="A44">
        <v>7</v>
      </c>
      <c r="B44">
        <v>44</v>
      </c>
      <c r="C44">
        <v>1</v>
      </c>
      <c r="D44">
        <v>46</v>
      </c>
      <c r="E44">
        <v>46</v>
      </c>
      <c r="F44">
        <v>3</v>
      </c>
    </row>
    <row r="45" spans="1:6" x14ac:dyDescent="0.2">
      <c r="A45">
        <v>7</v>
      </c>
      <c r="B45">
        <v>45</v>
      </c>
      <c r="C45">
        <v>2</v>
      </c>
      <c r="D45">
        <v>46</v>
      </c>
      <c r="E45">
        <v>92</v>
      </c>
      <c r="F45">
        <v>3</v>
      </c>
    </row>
    <row r="46" spans="1:6" x14ac:dyDescent="0.2">
      <c r="A46">
        <v>7</v>
      </c>
      <c r="B46">
        <v>46</v>
      </c>
      <c r="C46">
        <v>4</v>
      </c>
      <c r="D46">
        <v>46</v>
      </c>
      <c r="E46">
        <v>184</v>
      </c>
      <c r="F46">
        <v>3</v>
      </c>
    </row>
    <row r="47" spans="1:6" x14ac:dyDescent="0.2">
      <c r="A47">
        <v>7</v>
      </c>
      <c r="B47">
        <v>47</v>
      </c>
      <c r="C47">
        <v>2</v>
      </c>
      <c r="D47">
        <v>46</v>
      </c>
      <c r="E47">
        <v>92</v>
      </c>
      <c r="F47">
        <v>3</v>
      </c>
    </row>
    <row r="48" spans="1:6" x14ac:dyDescent="0.2">
      <c r="A48">
        <v>7</v>
      </c>
      <c r="B48">
        <v>48</v>
      </c>
      <c r="C48">
        <v>2</v>
      </c>
      <c r="D48">
        <v>46</v>
      </c>
      <c r="E48">
        <v>92</v>
      </c>
      <c r="F48">
        <v>3</v>
      </c>
    </row>
    <row r="49" spans="1:6" x14ac:dyDescent="0.2">
      <c r="A49">
        <v>8</v>
      </c>
      <c r="B49">
        <v>49</v>
      </c>
      <c r="C49">
        <v>1</v>
      </c>
      <c r="D49">
        <v>44</v>
      </c>
      <c r="E49">
        <v>44</v>
      </c>
      <c r="F49">
        <v>3</v>
      </c>
    </row>
    <row r="50" spans="1:6" x14ac:dyDescent="0.2">
      <c r="A50">
        <v>8</v>
      </c>
      <c r="B50">
        <v>50</v>
      </c>
      <c r="C50">
        <v>1</v>
      </c>
      <c r="D50">
        <v>44</v>
      </c>
      <c r="E50">
        <v>44</v>
      </c>
      <c r="F50">
        <v>3</v>
      </c>
    </row>
    <row r="51" spans="1:6" x14ac:dyDescent="0.2">
      <c r="A51">
        <v>8</v>
      </c>
      <c r="B51">
        <v>51</v>
      </c>
      <c r="C51">
        <v>1</v>
      </c>
      <c r="D51">
        <v>44</v>
      </c>
      <c r="E51">
        <v>44</v>
      </c>
      <c r="F51">
        <v>3</v>
      </c>
    </row>
    <row r="52" spans="1:6" x14ac:dyDescent="0.2">
      <c r="A52">
        <v>8</v>
      </c>
      <c r="B52">
        <v>52</v>
      </c>
      <c r="C52">
        <v>4</v>
      </c>
      <c r="D52">
        <v>44</v>
      </c>
      <c r="E52">
        <v>176</v>
      </c>
      <c r="F52">
        <v>3</v>
      </c>
    </row>
    <row r="53" spans="1:6" x14ac:dyDescent="0.2">
      <c r="A53">
        <v>8</v>
      </c>
      <c r="B53">
        <v>53</v>
      </c>
      <c r="C53">
        <v>1</v>
      </c>
      <c r="D53">
        <v>44</v>
      </c>
      <c r="E53">
        <v>44</v>
      </c>
      <c r="F53">
        <v>3</v>
      </c>
    </row>
    <row r="54" spans="1:6" x14ac:dyDescent="0.2">
      <c r="A54">
        <v>8</v>
      </c>
      <c r="B54">
        <v>54</v>
      </c>
      <c r="C54">
        <v>2</v>
      </c>
      <c r="D54">
        <v>44</v>
      </c>
      <c r="E54">
        <v>88</v>
      </c>
      <c r="F54">
        <v>3</v>
      </c>
    </row>
    <row r="55" spans="1:6" x14ac:dyDescent="0.2">
      <c r="A55">
        <v>8</v>
      </c>
      <c r="B55">
        <v>55</v>
      </c>
      <c r="C55">
        <v>2</v>
      </c>
      <c r="D55">
        <v>44</v>
      </c>
      <c r="E55">
        <v>88</v>
      </c>
      <c r="F55">
        <v>3</v>
      </c>
    </row>
    <row r="56" spans="1:6" x14ac:dyDescent="0.2">
      <c r="A56">
        <v>11</v>
      </c>
      <c r="B56">
        <v>56</v>
      </c>
      <c r="C56">
        <v>1</v>
      </c>
      <c r="D56">
        <v>45</v>
      </c>
      <c r="E56">
        <v>45</v>
      </c>
      <c r="F56">
        <v>3</v>
      </c>
    </row>
    <row r="57" spans="1:6" x14ac:dyDescent="0.2">
      <c r="A57">
        <v>11</v>
      </c>
      <c r="B57">
        <v>57</v>
      </c>
      <c r="C57">
        <v>1</v>
      </c>
      <c r="D57">
        <v>45</v>
      </c>
      <c r="E57">
        <v>45</v>
      </c>
      <c r="F57">
        <v>3</v>
      </c>
    </row>
    <row r="58" spans="1:6" x14ac:dyDescent="0.2">
      <c r="A58">
        <v>11</v>
      </c>
      <c r="B58">
        <v>58</v>
      </c>
      <c r="C58">
        <v>1</v>
      </c>
      <c r="D58">
        <v>45</v>
      </c>
      <c r="E58">
        <v>45</v>
      </c>
      <c r="F58">
        <v>3</v>
      </c>
    </row>
    <row r="59" spans="1:6" x14ac:dyDescent="0.2">
      <c r="A59">
        <v>11</v>
      </c>
      <c r="B59">
        <v>59</v>
      </c>
      <c r="C59">
        <v>2</v>
      </c>
      <c r="D59">
        <v>45</v>
      </c>
      <c r="E59">
        <v>90</v>
      </c>
      <c r="F59">
        <v>3</v>
      </c>
    </row>
    <row r="60" spans="1:6" x14ac:dyDescent="0.2">
      <c r="A60">
        <v>11</v>
      </c>
      <c r="B60">
        <v>60</v>
      </c>
      <c r="C60">
        <v>8</v>
      </c>
      <c r="D60">
        <v>45</v>
      </c>
      <c r="E60">
        <v>360</v>
      </c>
      <c r="F60">
        <v>3</v>
      </c>
    </row>
    <row r="61" spans="1:6" x14ac:dyDescent="0.2">
      <c r="A61">
        <v>11</v>
      </c>
      <c r="B61">
        <v>61</v>
      </c>
      <c r="C61">
        <v>8</v>
      </c>
      <c r="D61">
        <v>45</v>
      </c>
      <c r="E61">
        <v>360</v>
      </c>
      <c r="F61">
        <v>3</v>
      </c>
    </row>
    <row r="62" spans="1:6" x14ac:dyDescent="0.2">
      <c r="A62">
        <v>11</v>
      </c>
      <c r="B62">
        <v>36</v>
      </c>
      <c r="C62">
        <v>8</v>
      </c>
      <c r="D62">
        <v>45</v>
      </c>
      <c r="E62">
        <v>360</v>
      </c>
      <c r="F62">
        <v>3</v>
      </c>
    </row>
    <row r="63" spans="1:6" x14ac:dyDescent="0.2">
      <c r="A63">
        <v>11</v>
      </c>
      <c r="B63">
        <v>62</v>
      </c>
      <c r="C63">
        <v>8</v>
      </c>
      <c r="D63">
        <v>45</v>
      </c>
      <c r="E63">
        <v>360</v>
      </c>
      <c r="F63">
        <v>3</v>
      </c>
    </row>
    <row r="64" spans="1:6" x14ac:dyDescent="0.2">
      <c r="A64">
        <v>12</v>
      </c>
      <c r="B64">
        <v>63</v>
      </c>
      <c r="C64">
        <v>1</v>
      </c>
      <c r="D64">
        <v>46</v>
      </c>
      <c r="E64">
        <v>46</v>
      </c>
      <c r="F64">
        <v>3</v>
      </c>
    </row>
    <row r="65" spans="1:6" x14ac:dyDescent="0.2">
      <c r="A65">
        <v>12</v>
      </c>
      <c r="B65">
        <v>64</v>
      </c>
      <c r="C65">
        <v>1</v>
      </c>
      <c r="D65">
        <v>46</v>
      </c>
      <c r="E65">
        <v>46</v>
      </c>
      <c r="F65">
        <v>3</v>
      </c>
    </row>
    <row r="66" spans="1:6" x14ac:dyDescent="0.2">
      <c r="A66">
        <v>12</v>
      </c>
      <c r="B66">
        <v>65</v>
      </c>
      <c r="C66">
        <v>28</v>
      </c>
      <c r="D66">
        <v>46</v>
      </c>
      <c r="E66">
        <v>1288</v>
      </c>
      <c r="F66">
        <v>3</v>
      </c>
    </row>
    <row r="67" spans="1:6" x14ac:dyDescent="0.2">
      <c r="A67">
        <v>12</v>
      </c>
      <c r="B67">
        <v>66</v>
      </c>
      <c r="C67">
        <v>2</v>
      </c>
      <c r="D67">
        <v>46</v>
      </c>
      <c r="E67">
        <v>92</v>
      </c>
      <c r="F67">
        <v>3</v>
      </c>
    </row>
    <row r="68" spans="1:6" x14ac:dyDescent="0.2">
      <c r="A68">
        <v>12</v>
      </c>
      <c r="B68">
        <v>67</v>
      </c>
      <c r="C68">
        <v>2</v>
      </c>
      <c r="D68">
        <v>46</v>
      </c>
      <c r="E68">
        <v>92</v>
      </c>
      <c r="F68">
        <v>3</v>
      </c>
    </row>
    <row r="69" spans="1:6" x14ac:dyDescent="0.2">
      <c r="A69">
        <v>12</v>
      </c>
      <c r="B69">
        <v>68</v>
      </c>
      <c r="C69">
        <v>4</v>
      </c>
      <c r="D69">
        <v>46</v>
      </c>
      <c r="E69">
        <v>184</v>
      </c>
      <c r="F69">
        <v>3</v>
      </c>
    </row>
    <row r="70" spans="1:6" x14ac:dyDescent="0.2">
      <c r="A70">
        <v>12</v>
      </c>
      <c r="B70">
        <v>62</v>
      </c>
      <c r="C70">
        <v>2</v>
      </c>
      <c r="D70">
        <v>46</v>
      </c>
      <c r="E70">
        <v>92</v>
      </c>
      <c r="F70">
        <v>3</v>
      </c>
    </row>
    <row r="71" spans="1:6" x14ac:dyDescent="0.2">
      <c r="A71">
        <v>13</v>
      </c>
      <c r="B71">
        <v>69</v>
      </c>
      <c r="C71">
        <v>1</v>
      </c>
      <c r="D71">
        <v>45</v>
      </c>
      <c r="E71">
        <v>45</v>
      </c>
      <c r="F71">
        <v>3</v>
      </c>
    </row>
    <row r="72" spans="1:6" x14ac:dyDescent="0.2">
      <c r="A72">
        <v>13</v>
      </c>
      <c r="B72">
        <v>70</v>
      </c>
      <c r="C72">
        <v>6</v>
      </c>
      <c r="D72">
        <v>45</v>
      </c>
      <c r="E72">
        <v>270</v>
      </c>
      <c r="F72">
        <v>3</v>
      </c>
    </row>
    <row r="73" spans="1:6" x14ac:dyDescent="0.2">
      <c r="A73">
        <v>13</v>
      </c>
      <c r="B73">
        <v>71</v>
      </c>
      <c r="C73">
        <v>24</v>
      </c>
      <c r="D73">
        <v>45</v>
      </c>
      <c r="E73">
        <v>1080</v>
      </c>
      <c r="F73">
        <v>3</v>
      </c>
    </row>
    <row r="74" spans="1:6" x14ac:dyDescent="0.2">
      <c r="A74">
        <v>13</v>
      </c>
      <c r="B74">
        <v>72</v>
      </c>
      <c r="C74">
        <v>24</v>
      </c>
      <c r="D74">
        <v>45</v>
      </c>
      <c r="E74">
        <v>1080</v>
      </c>
      <c r="F74">
        <v>3</v>
      </c>
    </row>
    <row r="75" spans="1:6" x14ac:dyDescent="0.2">
      <c r="A75">
        <v>13</v>
      </c>
      <c r="B75">
        <v>73</v>
      </c>
      <c r="C75">
        <v>3</v>
      </c>
      <c r="D75">
        <v>45</v>
      </c>
      <c r="E75">
        <v>135</v>
      </c>
      <c r="F75">
        <v>3</v>
      </c>
    </row>
    <row r="76" spans="1:6" x14ac:dyDescent="0.2">
      <c r="A76">
        <v>13</v>
      </c>
      <c r="B76">
        <v>74</v>
      </c>
      <c r="C76">
        <v>12</v>
      </c>
      <c r="D76">
        <v>45</v>
      </c>
      <c r="E76">
        <v>540</v>
      </c>
      <c r="F76">
        <v>3</v>
      </c>
    </row>
    <row r="77" spans="1:6" x14ac:dyDescent="0.2">
      <c r="A77">
        <v>13</v>
      </c>
      <c r="B77">
        <v>75</v>
      </c>
      <c r="C77">
        <v>12</v>
      </c>
      <c r="D77">
        <v>45</v>
      </c>
      <c r="E77">
        <v>540</v>
      </c>
      <c r="F77">
        <v>3</v>
      </c>
    </row>
    <row r="78" spans="1:6" x14ac:dyDescent="0.2">
      <c r="A78">
        <v>13</v>
      </c>
      <c r="B78">
        <v>76</v>
      </c>
      <c r="C78">
        <v>1</v>
      </c>
      <c r="D78">
        <v>45</v>
      </c>
      <c r="E78">
        <v>45</v>
      </c>
      <c r="F78">
        <v>3</v>
      </c>
    </row>
    <row r="79" spans="1:6" x14ac:dyDescent="0.2">
      <c r="A79">
        <v>14</v>
      </c>
      <c r="B79">
        <v>77</v>
      </c>
      <c r="C79">
        <v>1</v>
      </c>
      <c r="D79">
        <v>44</v>
      </c>
      <c r="E79">
        <v>44</v>
      </c>
      <c r="F79">
        <v>3</v>
      </c>
    </row>
    <row r="80" spans="1:6" x14ac:dyDescent="0.2">
      <c r="A80">
        <v>14</v>
      </c>
      <c r="B80">
        <v>78</v>
      </c>
      <c r="C80">
        <v>1</v>
      </c>
      <c r="D80">
        <v>44</v>
      </c>
      <c r="E80">
        <v>44</v>
      </c>
      <c r="F80">
        <v>3</v>
      </c>
    </row>
    <row r="81" spans="1:6" x14ac:dyDescent="0.2">
      <c r="A81">
        <v>14</v>
      </c>
      <c r="B81">
        <v>79</v>
      </c>
      <c r="C81">
        <v>2</v>
      </c>
      <c r="D81">
        <v>44</v>
      </c>
      <c r="E81">
        <v>88</v>
      </c>
      <c r="F81">
        <v>3</v>
      </c>
    </row>
    <row r="82" spans="1:6" x14ac:dyDescent="0.2">
      <c r="A82">
        <v>14</v>
      </c>
      <c r="B82">
        <v>62</v>
      </c>
      <c r="C82">
        <v>2</v>
      </c>
      <c r="D82">
        <v>44</v>
      </c>
      <c r="E82">
        <v>88</v>
      </c>
      <c r="F82">
        <v>3</v>
      </c>
    </row>
    <row r="83" spans="1:6" x14ac:dyDescent="0.2">
      <c r="A83">
        <v>15</v>
      </c>
      <c r="B83">
        <v>80</v>
      </c>
      <c r="C83">
        <v>1</v>
      </c>
      <c r="D83">
        <v>45</v>
      </c>
      <c r="E83">
        <v>45</v>
      </c>
      <c r="F83">
        <v>3</v>
      </c>
    </row>
    <row r="84" spans="1:6" x14ac:dyDescent="0.2">
      <c r="A84">
        <v>15</v>
      </c>
      <c r="B84">
        <v>81</v>
      </c>
      <c r="C84">
        <v>1</v>
      </c>
      <c r="D84">
        <v>45</v>
      </c>
      <c r="E84">
        <v>45</v>
      </c>
      <c r="F84">
        <v>3</v>
      </c>
    </row>
    <row r="85" spans="1:6" x14ac:dyDescent="0.2">
      <c r="A85">
        <v>15</v>
      </c>
      <c r="B85">
        <v>82</v>
      </c>
      <c r="C85">
        <v>1</v>
      </c>
      <c r="D85">
        <v>45</v>
      </c>
      <c r="E85">
        <v>45</v>
      </c>
      <c r="F85">
        <v>3</v>
      </c>
    </row>
    <row r="86" spans="1:6" x14ac:dyDescent="0.2">
      <c r="A86">
        <v>15</v>
      </c>
      <c r="B86">
        <v>83</v>
      </c>
      <c r="C86">
        <v>6</v>
      </c>
      <c r="D86">
        <v>45</v>
      </c>
      <c r="E86">
        <v>270</v>
      </c>
      <c r="F86">
        <v>3</v>
      </c>
    </row>
    <row r="87" spans="1:6" x14ac:dyDescent="0.2">
      <c r="A87">
        <v>15</v>
      </c>
      <c r="B87">
        <v>84</v>
      </c>
      <c r="C87">
        <v>6</v>
      </c>
      <c r="D87">
        <v>45</v>
      </c>
      <c r="E87">
        <v>270</v>
      </c>
      <c r="F87">
        <v>3</v>
      </c>
    </row>
    <row r="88" spans="1:6" x14ac:dyDescent="0.2">
      <c r="A88">
        <v>15</v>
      </c>
      <c r="B88">
        <v>36</v>
      </c>
      <c r="C88">
        <v>6</v>
      </c>
      <c r="D88">
        <v>45</v>
      </c>
      <c r="E88">
        <v>270</v>
      </c>
      <c r="F88">
        <v>3</v>
      </c>
    </row>
    <row r="89" spans="1:6" x14ac:dyDescent="0.2">
      <c r="A89">
        <v>15</v>
      </c>
      <c r="B89">
        <v>85</v>
      </c>
      <c r="C89">
        <v>2</v>
      </c>
      <c r="D89">
        <v>45</v>
      </c>
      <c r="E89">
        <v>90</v>
      </c>
      <c r="F89">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9AFC7-1C4F-2943-9A44-A50859DCD6F4}">
  <dimension ref="A1:M88"/>
  <sheetViews>
    <sheetView topLeftCell="B12" workbookViewId="0">
      <selection activeCell="K21" sqref="K21"/>
    </sheetView>
  </sheetViews>
  <sheetFormatPr baseColWidth="10" defaultRowHeight="16" x14ac:dyDescent="0.2"/>
  <cols>
    <col min="1" max="6" width="26.1640625" customWidth="1"/>
    <col min="7" max="7" width="14.33203125" customWidth="1"/>
    <col min="8" max="8" width="22.6640625" customWidth="1"/>
    <col min="9" max="9" width="26.1640625" customWidth="1"/>
  </cols>
  <sheetData>
    <row r="1" spans="1:9" x14ac:dyDescent="0.2">
      <c r="A1" t="s">
        <v>0</v>
      </c>
      <c r="B1" t="s">
        <v>1</v>
      </c>
      <c r="C1" t="s">
        <v>2</v>
      </c>
      <c r="D1" t="s">
        <v>4</v>
      </c>
      <c r="E1" t="s">
        <v>164</v>
      </c>
      <c r="F1" t="s">
        <v>165</v>
      </c>
      <c r="G1" t="s">
        <v>166</v>
      </c>
      <c r="H1" t="s">
        <v>167</v>
      </c>
      <c r="I1" t="s">
        <v>168</v>
      </c>
    </row>
    <row r="2" spans="1:9" x14ac:dyDescent="0.2">
      <c r="A2" cm="1">
        <f t="array" ref="A2:A86">tblItems[item_id]</f>
        <v>1</v>
      </c>
      <c r="B2" t="str" cm="1">
        <f t="array" ref="B2:B86">_xlfn.XLOOKUP(_xlfn.ANCHORARRAY(A2), tblItems[item_id], tblItems[item_name])</f>
        <v>Industrial Centrifugal Water Pump</v>
      </c>
      <c r="C2" cm="1">
        <f t="array" ref="C2:C86">_xlfn.XLOOKUP(_xlfn.ANCHORARRAY(A2), tblItems[item_id], tblItems[item_level])</f>
        <v>0</v>
      </c>
      <c r="D2" t="str" cm="1">
        <f t="array" ref="D2:D86">_xlfn.XLOOKUP(_xlfn.ANCHORARRAY(A2), tblItems[item_id], tblItems[procurement_type])</f>
        <v>Manufactured</v>
      </c>
      <c r="E2" cm="1">
        <f t="array" ref="E2:E86">_xlfn.XLOOKUP(_xlfn.ANCHORARRAY(A2), tblInventory[item_id], tblInventory[available_quantity])</f>
        <v>0</v>
      </c>
      <c r="F2" cm="1">
        <f t="array" ref="F2">SUM(SUMIFS(tblCustomerOrders[order_quantity],tblCustomerOrders[item_id],1,tblCustomerOrders[order_status],{"Pending","Released"}))</f>
        <v>46</v>
      </c>
      <c r="G2">
        <f>MAX(F2-E2,0)</f>
        <v>46</v>
      </c>
      <c r="H2">
        <f>IF(D2="Manufactured",G2,0)</f>
        <v>46</v>
      </c>
      <c r="I2">
        <f>IF(D2="Purchased",G2,0)</f>
        <v>0</v>
      </c>
    </row>
    <row r="3" spans="1:9" x14ac:dyDescent="0.2">
      <c r="A3">
        <v>2</v>
      </c>
      <c r="B3" t="str">
        <v>Pump Assembly</v>
      </c>
      <c r="C3">
        <v>1</v>
      </c>
      <c r="D3" t="str">
        <v>Manufactured</v>
      </c>
      <c r="E3">
        <v>0</v>
      </c>
      <c r="F3">
        <f>G2*1</f>
        <v>46</v>
      </c>
      <c r="G3">
        <f>MAX(F3-E3,0)</f>
        <v>46</v>
      </c>
      <c r="H3">
        <f t="shared" ref="H3:H66" si="0">IF(D3="Manufactured",G3,0)</f>
        <v>46</v>
      </c>
      <c r="I3">
        <f t="shared" ref="I3:I66" si="1">IF(D3="Purchased",G3,0)</f>
        <v>0</v>
      </c>
    </row>
    <row r="4" spans="1:9" x14ac:dyDescent="0.2">
      <c r="A4">
        <v>3</v>
      </c>
      <c r="B4" t="str">
        <v>Electric Motor Assembly</v>
      </c>
      <c r="C4">
        <v>1</v>
      </c>
      <c r="D4" t="str">
        <v>Manufactured</v>
      </c>
      <c r="E4">
        <v>0</v>
      </c>
      <c r="F4">
        <f>G2*1</f>
        <v>46</v>
      </c>
      <c r="G4">
        <f>MAX(F4-E4,0)</f>
        <v>46</v>
      </c>
      <c r="H4">
        <f t="shared" si="0"/>
        <v>46</v>
      </c>
      <c r="I4">
        <f t="shared" si="1"/>
        <v>0</v>
      </c>
    </row>
    <row r="5" spans="1:9" x14ac:dyDescent="0.2">
      <c r="A5">
        <v>4</v>
      </c>
      <c r="B5" t="str">
        <v>Base Frame Assembly</v>
      </c>
      <c r="C5">
        <v>1</v>
      </c>
      <c r="D5" t="str">
        <v>Manufactured</v>
      </c>
      <c r="E5">
        <v>0</v>
      </c>
      <c r="F5">
        <f>G2*1</f>
        <v>46</v>
      </c>
      <c r="G5">
        <f>MAX(F5-E5,0)</f>
        <v>46</v>
      </c>
      <c r="H5">
        <f t="shared" si="0"/>
        <v>46</v>
      </c>
      <c r="I5">
        <f t="shared" si="1"/>
        <v>0</v>
      </c>
    </row>
    <row r="6" spans="1:9" x14ac:dyDescent="0.2">
      <c r="A6">
        <v>5</v>
      </c>
      <c r="B6" t="str">
        <v>Packaging Assembly</v>
      </c>
      <c r="C6">
        <v>1</v>
      </c>
      <c r="D6" t="str">
        <v>Manufactured</v>
      </c>
      <c r="E6">
        <v>0</v>
      </c>
      <c r="F6">
        <f>G2*1</f>
        <v>46</v>
      </c>
      <c r="G6">
        <f>MAX(F6-E6,0)</f>
        <v>46</v>
      </c>
      <c r="H6">
        <f t="shared" si="0"/>
        <v>46</v>
      </c>
      <c r="I6">
        <f t="shared" si="1"/>
        <v>0</v>
      </c>
    </row>
    <row r="7" spans="1:9" x14ac:dyDescent="0.2">
      <c r="A7">
        <v>6</v>
      </c>
      <c r="B7" t="str">
        <v>Casing Assembly</v>
      </c>
      <c r="C7">
        <v>2</v>
      </c>
      <c r="D7" t="str">
        <v>Manufactured</v>
      </c>
      <c r="E7">
        <v>1</v>
      </c>
      <c r="F7">
        <f>G3</f>
        <v>46</v>
      </c>
      <c r="G7">
        <f t="shared" ref="G7:G29" si="2">MAX(F7-E7,0)</f>
        <v>45</v>
      </c>
      <c r="H7">
        <f t="shared" si="0"/>
        <v>45</v>
      </c>
      <c r="I7">
        <f t="shared" si="1"/>
        <v>0</v>
      </c>
    </row>
    <row r="8" spans="1:9" x14ac:dyDescent="0.2">
      <c r="A8">
        <v>7</v>
      </c>
      <c r="B8" t="str">
        <v>Rotating Assembly</v>
      </c>
      <c r="C8">
        <v>2</v>
      </c>
      <c r="D8" t="str">
        <v>Manufactured</v>
      </c>
      <c r="E8">
        <v>0</v>
      </c>
      <c r="F8">
        <f>G3</f>
        <v>46</v>
      </c>
      <c r="G8">
        <f t="shared" si="2"/>
        <v>46</v>
      </c>
      <c r="H8">
        <f t="shared" si="0"/>
        <v>46</v>
      </c>
      <c r="I8">
        <f t="shared" si="1"/>
        <v>0</v>
      </c>
    </row>
    <row r="9" spans="1:9" x14ac:dyDescent="0.2">
      <c r="A9">
        <v>8</v>
      </c>
      <c r="B9" t="str">
        <v>Mechanical Seal Assembly</v>
      </c>
      <c r="C9">
        <v>2</v>
      </c>
      <c r="D9" t="str">
        <v>Manufactured</v>
      </c>
      <c r="E9">
        <v>2</v>
      </c>
      <c r="F9">
        <f>G3</f>
        <v>46</v>
      </c>
      <c r="G9">
        <f t="shared" si="2"/>
        <v>44</v>
      </c>
      <c r="H9">
        <f t="shared" si="0"/>
        <v>44</v>
      </c>
      <c r="I9">
        <f t="shared" si="1"/>
        <v>0</v>
      </c>
    </row>
    <row r="10" spans="1:9" x14ac:dyDescent="0.2">
      <c r="A10">
        <v>9</v>
      </c>
      <c r="B10" t="str">
        <v>Suction Flange</v>
      </c>
      <c r="C10">
        <v>2</v>
      </c>
      <c r="D10" t="str">
        <v>Purchased</v>
      </c>
      <c r="E10">
        <v>4</v>
      </c>
      <c r="F10">
        <f>G3</f>
        <v>46</v>
      </c>
      <c r="G10">
        <f t="shared" si="2"/>
        <v>42</v>
      </c>
      <c r="H10">
        <f t="shared" si="0"/>
        <v>0</v>
      </c>
      <c r="I10">
        <f t="shared" si="1"/>
        <v>42</v>
      </c>
    </row>
    <row r="11" spans="1:9" x14ac:dyDescent="0.2">
      <c r="A11">
        <v>10</v>
      </c>
      <c r="B11" t="str">
        <v>Discharge Flange</v>
      </c>
      <c r="C11">
        <v>2</v>
      </c>
      <c r="D11" t="str">
        <v>Purchased</v>
      </c>
      <c r="E11">
        <v>3</v>
      </c>
      <c r="F11">
        <f>G3</f>
        <v>46</v>
      </c>
      <c r="G11">
        <f t="shared" si="2"/>
        <v>43</v>
      </c>
      <c r="H11">
        <f t="shared" si="0"/>
        <v>0</v>
      </c>
      <c r="I11">
        <f t="shared" si="1"/>
        <v>43</v>
      </c>
    </row>
    <row r="12" spans="1:9" x14ac:dyDescent="0.2">
      <c r="A12">
        <v>11</v>
      </c>
      <c r="B12" t="str">
        <v>Motor Housing Assembly</v>
      </c>
      <c r="C12">
        <v>2</v>
      </c>
      <c r="D12" t="str">
        <v>Manufactured</v>
      </c>
      <c r="E12">
        <v>1</v>
      </c>
      <c r="F12">
        <f>G4</f>
        <v>46</v>
      </c>
      <c r="G12">
        <f t="shared" si="2"/>
        <v>45</v>
      </c>
      <c r="H12">
        <f t="shared" si="0"/>
        <v>45</v>
      </c>
      <c r="I12">
        <f t="shared" si="1"/>
        <v>0</v>
      </c>
    </row>
    <row r="13" spans="1:9" x14ac:dyDescent="0.2">
      <c r="A13">
        <v>12</v>
      </c>
      <c r="B13" t="str">
        <v>Rotor Assembly</v>
      </c>
      <c r="C13">
        <v>2</v>
      </c>
      <c r="D13" t="str">
        <v>Manufactured</v>
      </c>
      <c r="E13">
        <v>0</v>
      </c>
      <c r="F13">
        <f>G3</f>
        <v>46</v>
      </c>
      <c r="G13">
        <f t="shared" si="2"/>
        <v>46</v>
      </c>
      <c r="H13">
        <f t="shared" si="0"/>
        <v>46</v>
      </c>
      <c r="I13">
        <f t="shared" si="1"/>
        <v>0</v>
      </c>
    </row>
    <row r="14" spans="1:9" x14ac:dyDescent="0.2">
      <c r="A14">
        <v>13</v>
      </c>
      <c r="B14" t="str">
        <v>Stator Assembly</v>
      </c>
      <c r="C14">
        <v>2</v>
      </c>
      <c r="D14" t="str">
        <v>Manufactured</v>
      </c>
      <c r="E14">
        <v>1</v>
      </c>
      <c r="F14">
        <f>G3</f>
        <v>46</v>
      </c>
      <c r="G14">
        <f t="shared" si="2"/>
        <v>45</v>
      </c>
      <c r="H14">
        <f t="shared" si="0"/>
        <v>45</v>
      </c>
      <c r="I14">
        <f t="shared" si="1"/>
        <v>0</v>
      </c>
    </row>
    <row r="15" spans="1:9" x14ac:dyDescent="0.2">
      <c r="A15">
        <v>14</v>
      </c>
      <c r="B15" t="str">
        <v>Cooling Fan Assembly</v>
      </c>
      <c r="C15">
        <v>2</v>
      </c>
      <c r="D15" t="str">
        <v>Manufactured</v>
      </c>
      <c r="E15">
        <v>2</v>
      </c>
      <c r="F15">
        <f>G3</f>
        <v>46</v>
      </c>
      <c r="G15">
        <f t="shared" si="2"/>
        <v>44</v>
      </c>
      <c r="H15">
        <f t="shared" si="0"/>
        <v>44</v>
      </c>
      <c r="I15">
        <f t="shared" si="1"/>
        <v>0</v>
      </c>
    </row>
    <row r="16" spans="1:9" x14ac:dyDescent="0.2">
      <c r="A16">
        <v>15</v>
      </c>
      <c r="B16" t="str">
        <v>Terminal Box Assembly</v>
      </c>
      <c r="C16">
        <v>2</v>
      </c>
      <c r="D16" t="str">
        <v>Manufactured</v>
      </c>
      <c r="E16">
        <v>1</v>
      </c>
      <c r="F16">
        <f>G3</f>
        <v>46</v>
      </c>
      <c r="G16">
        <f t="shared" si="2"/>
        <v>45</v>
      </c>
      <c r="H16">
        <f t="shared" si="0"/>
        <v>45</v>
      </c>
      <c r="I16">
        <f t="shared" si="1"/>
        <v>0</v>
      </c>
    </row>
    <row r="17" spans="1:13" x14ac:dyDescent="0.2">
      <c r="A17">
        <v>16</v>
      </c>
      <c r="B17" t="str">
        <v>Base Plate</v>
      </c>
      <c r="C17">
        <v>2</v>
      </c>
      <c r="D17" t="str">
        <v>Purchased</v>
      </c>
      <c r="E17">
        <v>4</v>
      </c>
      <c r="F17">
        <f>G5</f>
        <v>46</v>
      </c>
      <c r="G17">
        <f t="shared" si="2"/>
        <v>42</v>
      </c>
      <c r="H17">
        <f t="shared" si="0"/>
        <v>0</v>
      </c>
      <c r="I17">
        <f t="shared" si="1"/>
        <v>42</v>
      </c>
    </row>
    <row r="18" spans="1:13" x14ac:dyDescent="0.2">
      <c r="A18">
        <v>17</v>
      </c>
      <c r="B18" t="str">
        <v>Mounting Feet</v>
      </c>
      <c r="C18">
        <v>2</v>
      </c>
      <c r="D18" t="str">
        <v>Purchased</v>
      </c>
      <c r="E18">
        <v>5</v>
      </c>
      <c r="F18">
        <f>G5*2</f>
        <v>92</v>
      </c>
      <c r="G18">
        <f t="shared" si="2"/>
        <v>87</v>
      </c>
      <c r="H18">
        <f t="shared" si="0"/>
        <v>0</v>
      </c>
      <c r="I18">
        <f t="shared" si="1"/>
        <v>87</v>
      </c>
    </row>
    <row r="19" spans="1:13" x14ac:dyDescent="0.2">
      <c r="A19">
        <v>18</v>
      </c>
      <c r="B19" t="str">
        <v>Coupling Guard</v>
      </c>
      <c r="C19">
        <v>2</v>
      </c>
      <c r="D19" t="str">
        <v>Purchased</v>
      </c>
      <c r="E19">
        <v>3</v>
      </c>
      <c r="F19">
        <f>G5</f>
        <v>46</v>
      </c>
      <c r="G19">
        <f t="shared" si="2"/>
        <v>43</v>
      </c>
      <c r="H19">
        <f t="shared" si="0"/>
        <v>0</v>
      </c>
      <c r="I19">
        <f t="shared" si="1"/>
        <v>43</v>
      </c>
    </row>
    <row r="20" spans="1:13" x14ac:dyDescent="0.2">
      <c r="A20">
        <v>19</v>
      </c>
      <c r="B20" t="str">
        <v>Anti Vibration Pads</v>
      </c>
      <c r="C20">
        <v>2</v>
      </c>
      <c r="D20" t="str">
        <v>Purchased</v>
      </c>
      <c r="E20">
        <v>4</v>
      </c>
      <c r="F20">
        <f>G5*4</f>
        <v>184</v>
      </c>
      <c r="G20">
        <f t="shared" si="2"/>
        <v>180</v>
      </c>
      <c r="H20">
        <f t="shared" si="0"/>
        <v>0</v>
      </c>
      <c r="I20">
        <f t="shared" si="1"/>
        <v>180</v>
      </c>
    </row>
    <row r="21" spans="1:13" x14ac:dyDescent="0.2">
      <c r="A21">
        <v>20</v>
      </c>
      <c r="B21" t="str">
        <v>Anchor Bolts</v>
      </c>
      <c r="C21">
        <v>2</v>
      </c>
      <c r="D21" t="str">
        <v>Purchased</v>
      </c>
      <c r="E21">
        <v>8</v>
      </c>
      <c r="F21">
        <f>G5*4</f>
        <v>184</v>
      </c>
      <c r="G21">
        <f t="shared" si="2"/>
        <v>176</v>
      </c>
      <c r="H21">
        <f t="shared" si="0"/>
        <v>0</v>
      </c>
      <c r="I21">
        <f t="shared" si="1"/>
        <v>176</v>
      </c>
    </row>
    <row r="22" spans="1:13" x14ac:dyDescent="0.2">
      <c r="A22">
        <v>21</v>
      </c>
      <c r="B22" t="str">
        <v>Anchor Nuts</v>
      </c>
      <c r="C22">
        <v>2</v>
      </c>
      <c r="D22" t="str">
        <v>Purchased</v>
      </c>
      <c r="E22">
        <v>8</v>
      </c>
      <c r="F22">
        <f>G5*4</f>
        <v>184</v>
      </c>
      <c r="G22">
        <f t="shared" si="2"/>
        <v>176</v>
      </c>
      <c r="H22">
        <f t="shared" si="0"/>
        <v>0</v>
      </c>
      <c r="I22">
        <f t="shared" si="1"/>
        <v>176</v>
      </c>
    </row>
    <row r="23" spans="1:13" x14ac:dyDescent="0.2">
      <c r="A23">
        <v>22</v>
      </c>
      <c r="B23" t="str">
        <v>Flat Washers</v>
      </c>
      <c r="C23">
        <v>2</v>
      </c>
      <c r="D23" t="str">
        <v>Purchased</v>
      </c>
      <c r="E23">
        <v>8</v>
      </c>
      <c r="F23">
        <f>G5*4</f>
        <v>184</v>
      </c>
      <c r="G23">
        <f t="shared" si="2"/>
        <v>176</v>
      </c>
      <c r="H23">
        <f t="shared" si="0"/>
        <v>0</v>
      </c>
      <c r="I23">
        <f t="shared" si="1"/>
        <v>176</v>
      </c>
      <c r="J23" s="3"/>
      <c r="K23" s="3"/>
      <c r="L23" s="3"/>
    </row>
    <row r="24" spans="1:13" x14ac:dyDescent="0.2">
      <c r="A24">
        <v>23</v>
      </c>
      <c r="B24" t="str">
        <v>Carton Box</v>
      </c>
      <c r="C24">
        <v>2</v>
      </c>
      <c r="D24" t="str">
        <v>Purchased</v>
      </c>
      <c r="E24">
        <v>4</v>
      </c>
      <c r="F24">
        <f>G6</f>
        <v>46</v>
      </c>
      <c r="G24">
        <f t="shared" si="2"/>
        <v>42</v>
      </c>
      <c r="H24">
        <f t="shared" si="0"/>
        <v>0</v>
      </c>
      <c r="I24">
        <f t="shared" si="1"/>
        <v>42</v>
      </c>
      <c r="K24" s="3"/>
      <c r="L24" s="3"/>
      <c r="M24" s="3"/>
    </row>
    <row r="25" spans="1:13" x14ac:dyDescent="0.2">
      <c r="A25">
        <v>24</v>
      </c>
      <c r="B25" t="str">
        <v>Foam Inserts</v>
      </c>
      <c r="C25">
        <v>2</v>
      </c>
      <c r="D25" t="str">
        <v>Purchased</v>
      </c>
      <c r="E25">
        <v>5</v>
      </c>
      <c r="F25">
        <f>G6*2</f>
        <v>92</v>
      </c>
      <c r="G25">
        <f t="shared" si="2"/>
        <v>87</v>
      </c>
      <c r="H25">
        <f t="shared" si="0"/>
        <v>0</v>
      </c>
      <c r="I25">
        <f t="shared" si="1"/>
        <v>87</v>
      </c>
    </row>
    <row r="26" spans="1:13" x14ac:dyDescent="0.2">
      <c r="A26">
        <v>25</v>
      </c>
      <c r="B26" t="str">
        <v>Plastic Bag</v>
      </c>
      <c r="C26">
        <v>2</v>
      </c>
      <c r="D26" t="str">
        <v>Purchased</v>
      </c>
      <c r="E26">
        <v>4</v>
      </c>
      <c r="F26">
        <f>G6</f>
        <v>46</v>
      </c>
      <c r="G26">
        <f t="shared" si="2"/>
        <v>42</v>
      </c>
      <c r="H26">
        <f t="shared" si="0"/>
        <v>0</v>
      </c>
      <c r="I26">
        <f t="shared" si="1"/>
        <v>42</v>
      </c>
    </row>
    <row r="27" spans="1:13" x14ac:dyDescent="0.2">
      <c r="A27">
        <v>26</v>
      </c>
      <c r="B27" t="str">
        <v>User Manual</v>
      </c>
      <c r="C27">
        <v>2</v>
      </c>
      <c r="D27" t="str">
        <v>Purchased</v>
      </c>
      <c r="E27">
        <v>8</v>
      </c>
      <c r="F27">
        <f>G6</f>
        <v>46</v>
      </c>
      <c r="G27">
        <f t="shared" si="2"/>
        <v>38</v>
      </c>
      <c r="H27">
        <f t="shared" si="0"/>
        <v>0</v>
      </c>
      <c r="I27">
        <f t="shared" si="1"/>
        <v>38</v>
      </c>
    </row>
    <row r="28" spans="1:13" x14ac:dyDescent="0.2">
      <c r="A28">
        <v>27</v>
      </c>
      <c r="B28" t="str">
        <v>Warranty Card</v>
      </c>
      <c r="C28">
        <v>2</v>
      </c>
      <c r="D28" t="str">
        <v>Purchased</v>
      </c>
      <c r="E28">
        <v>8</v>
      </c>
      <c r="F28">
        <f>G6</f>
        <v>46</v>
      </c>
      <c r="G28">
        <f t="shared" si="2"/>
        <v>38</v>
      </c>
      <c r="H28">
        <f t="shared" si="0"/>
        <v>0</v>
      </c>
      <c r="I28">
        <f t="shared" si="1"/>
        <v>38</v>
      </c>
    </row>
    <row r="29" spans="1:13" x14ac:dyDescent="0.2">
      <c r="A29">
        <v>28</v>
      </c>
      <c r="B29" t="str">
        <v>Product Label</v>
      </c>
      <c r="C29">
        <v>2</v>
      </c>
      <c r="D29" t="str">
        <v>Purchased</v>
      </c>
      <c r="E29">
        <v>8</v>
      </c>
      <c r="F29">
        <f>G6*2</f>
        <v>92</v>
      </c>
      <c r="G29">
        <f t="shared" si="2"/>
        <v>84</v>
      </c>
      <c r="H29">
        <f t="shared" si="0"/>
        <v>0</v>
      </c>
      <c r="I29">
        <f t="shared" si="1"/>
        <v>84</v>
      </c>
    </row>
    <row r="30" spans="1:13" ht="17" x14ac:dyDescent="0.25">
      <c r="A30">
        <v>29</v>
      </c>
      <c r="B30" t="str">
        <v>Pump Casing</v>
      </c>
      <c r="C30">
        <v>3</v>
      </c>
      <c r="D30" t="str">
        <v>Purchased</v>
      </c>
      <c r="E30">
        <v>3</v>
      </c>
      <c r="F30" s="4">
        <f>G7</f>
        <v>45</v>
      </c>
      <c r="G30">
        <f>MAX(F30-E30,0)</f>
        <v>42</v>
      </c>
      <c r="H30">
        <f t="shared" si="0"/>
        <v>0</v>
      </c>
      <c r="I30">
        <f t="shared" si="1"/>
        <v>42</v>
      </c>
    </row>
    <row r="31" spans="1:13" ht="17" x14ac:dyDescent="0.25">
      <c r="A31">
        <v>30</v>
      </c>
      <c r="B31" t="str">
        <v>Casing Cover</v>
      </c>
      <c r="C31">
        <v>3</v>
      </c>
      <c r="D31" t="str">
        <v>Purchased</v>
      </c>
      <c r="E31">
        <v>2</v>
      </c>
      <c r="F31" s="4">
        <f>G7</f>
        <v>45</v>
      </c>
      <c r="G31">
        <f t="shared" ref="G31:G86" si="3">MAX(F31-E31,0)</f>
        <v>43</v>
      </c>
      <c r="H31">
        <f t="shared" si="0"/>
        <v>0</v>
      </c>
      <c r="I31">
        <f t="shared" si="1"/>
        <v>43</v>
      </c>
    </row>
    <row r="32" spans="1:13" ht="17" x14ac:dyDescent="0.25">
      <c r="A32">
        <v>31</v>
      </c>
      <c r="B32" t="str">
        <v>Wear Ring</v>
      </c>
      <c r="C32">
        <v>3</v>
      </c>
      <c r="D32" t="str">
        <v>Purchased</v>
      </c>
      <c r="E32">
        <v>3</v>
      </c>
      <c r="F32" s="4">
        <f>G7*2</f>
        <v>90</v>
      </c>
      <c r="G32">
        <f t="shared" si="3"/>
        <v>87</v>
      </c>
      <c r="H32">
        <f t="shared" si="0"/>
        <v>0</v>
      </c>
      <c r="I32">
        <f t="shared" si="1"/>
        <v>87</v>
      </c>
    </row>
    <row r="33" spans="1:9" ht="17" x14ac:dyDescent="0.25">
      <c r="A33">
        <v>32</v>
      </c>
      <c r="B33" t="str">
        <v>Casing Gasket</v>
      </c>
      <c r="C33">
        <v>3</v>
      </c>
      <c r="D33" t="str">
        <v>Purchased</v>
      </c>
      <c r="E33">
        <v>5</v>
      </c>
      <c r="F33" s="4">
        <f>G7</f>
        <v>45</v>
      </c>
      <c r="G33">
        <f t="shared" si="3"/>
        <v>40</v>
      </c>
      <c r="H33">
        <f t="shared" si="0"/>
        <v>0</v>
      </c>
      <c r="I33">
        <f t="shared" si="1"/>
        <v>40</v>
      </c>
    </row>
    <row r="34" spans="1:9" ht="17" x14ac:dyDescent="0.25">
      <c r="A34">
        <v>33</v>
      </c>
      <c r="B34" t="str">
        <v>Drain Plug</v>
      </c>
      <c r="C34">
        <v>3</v>
      </c>
      <c r="D34" t="str">
        <v>Purchased</v>
      </c>
      <c r="E34">
        <v>4</v>
      </c>
      <c r="F34" s="4">
        <f>G7*2</f>
        <v>90</v>
      </c>
      <c r="G34">
        <f t="shared" si="3"/>
        <v>86</v>
      </c>
      <c r="H34">
        <f t="shared" si="0"/>
        <v>0</v>
      </c>
      <c r="I34">
        <f t="shared" si="1"/>
        <v>86</v>
      </c>
    </row>
    <row r="35" spans="1:9" ht="17" x14ac:dyDescent="0.25">
      <c r="A35">
        <v>34</v>
      </c>
      <c r="B35" t="str">
        <v>Hex Bolt M12</v>
      </c>
      <c r="C35">
        <v>3</v>
      </c>
      <c r="D35" t="str">
        <v>Purchased</v>
      </c>
      <c r="E35">
        <v>8</v>
      </c>
      <c r="F35" s="4">
        <f>G7*12</f>
        <v>540</v>
      </c>
      <c r="G35">
        <f t="shared" si="3"/>
        <v>532</v>
      </c>
      <c r="H35">
        <f t="shared" si="0"/>
        <v>0</v>
      </c>
      <c r="I35">
        <f t="shared" si="1"/>
        <v>532</v>
      </c>
    </row>
    <row r="36" spans="1:9" ht="17" x14ac:dyDescent="0.25">
      <c r="A36">
        <v>35</v>
      </c>
      <c r="B36" t="str">
        <v>Hex Nut M12</v>
      </c>
      <c r="C36">
        <v>3</v>
      </c>
      <c r="D36" t="str">
        <v>Purchased</v>
      </c>
      <c r="E36">
        <v>8</v>
      </c>
      <c r="F36" s="4">
        <f>G7*12</f>
        <v>540</v>
      </c>
      <c r="G36">
        <f t="shared" si="3"/>
        <v>532</v>
      </c>
      <c r="H36">
        <f t="shared" si="0"/>
        <v>0</v>
      </c>
      <c r="I36">
        <f t="shared" si="1"/>
        <v>532</v>
      </c>
    </row>
    <row r="37" spans="1:9" ht="17" x14ac:dyDescent="0.25">
      <c r="A37">
        <v>36</v>
      </c>
      <c r="B37" t="str">
        <v>Flat Washer</v>
      </c>
      <c r="C37">
        <v>3</v>
      </c>
      <c r="D37" t="str">
        <v>Purchased</v>
      </c>
      <c r="E37">
        <v>8</v>
      </c>
      <c r="F37" s="4">
        <f>G7*12+G12*8+G16*6</f>
        <v>1170</v>
      </c>
      <c r="G37">
        <f t="shared" si="3"/>
        <v>1162</v>
      </c>
      <c r="H37">
        <f t="shared" si="0"/>
        <v>0</v>
      </c>
      <c r="I37">
        <f t="shared" si="1"/>
        <v>1162</v>
      </c>
    </row>
    <row r="38" spans="1:9" ht="17" x14ac:dyDescent="0.25">
      <c r="A38">
        <v>37</v>
      </c>
      <c r="B38" t="str">
        <v>Spring Washer</v>
      </c>
      <c r="C38">
        <v>3</v>
      </c>
      <c r="D38" t="str">
        <v>Purchased</v>
      </c>
      <c r="E38">
        <v>8</v>
      </c>
      <c r="F38" s="4">
        <f>G7*12</f>
        <v>540</v>
      </c>
      <c r="G38">
        <f t="shared" si="3"/>
        <v>532</v>
      </c>
      <c r="H38">
        <f t="shared" si="0"/>
        <v>0</v>
      </c>
      <c r="I38">
        <f t="shared" si="1"/>
        <v>532</v>
      </c>
    </row>
    <row r="39" spans="1:9" ht="17" x14ac:dyDescent="0.25">
      <c r="A39">
        <v>38</v>
      </c>
      <c r="B39" t="str">
        <v>Pump Shaft</v>
      </c>
      <c r="C39">
        <v>3</v>
      </c>
      <c r="D39" t="str">
        <v>Purchased</v>
      </c>
      <c r="E39">
        <v>2</v>
      </c>
      <c r="F39" s="4">
        <f>G8</f>
        <v>46</v>
      </c>
      <c r="G39">
        <f t="shared" si="3"/>
        <v>44</v>
      </c>
      <c r="H39">
        <f t="shared" si="0"/>
        <v>0</v>
      </c>
      <c r="I39">
        <f t="shared" si="1"/>
        <v>44</v>
      </c>
    </row>
    <row r="40" spans="1:9" ht="17" x14ac:dyDescent="0.25">
      <c r="A40">
        <v>39</v>
      </c>
      <c r="B40" t="str">
        <v>Impeller</v>
      </c>
      <c r="C40">
        <v>3</v>
      </c>
      <c r="D40" t="str">
        <v>Purchased</v>
      </c>
      <c r="E40">
        <v>3</v>
      </c>
      <c r="F40" s="4">
        <f>G8</f>
        <v>46</v>
      </c>
      <c r="G40">
        <f t="shared" si="3"/>
        <v>43</v>
      </c>
      <c r="H40">
        <f t="shared" si="0"/>
        <v>0</v>
      </c>
      <c r="I40">
        <f t="shared" si="1"/>
        <v>43</v>
      </c>
    </row>
    <row r="41" spans="1:9" ht="17" x14ac:dyDescent="0.25">
      <c r="A41">
        <v>40</v>
      </c>
      <c r="B41" t="str">
        <v>Front Bearing</v>
      </c>
      <c r="C41">
        <v>3</v>
      </c>
      <c r="D41" t="str">
        <v>Purchased</v>
      </c>
      <c r="E41">
        <v>3</v>
      </c>
      <c r="F41" s="4">
        <f>G8</f>
        <v>46</v>
      </c>
      <c r="G41">
        <f t="shared" si="3"/>
        <v>43</v>
      </c>
      <c r="H41">
        <f t="shared" si="0"/>
        <v>0</v>
      </c>
      <c r="I41">
        <f t="shared" si="1"/>
        <v>43</v>
      </c>
    </row>
    <row r="42" spans="1:9" ht="17" x14ac:dyDescent="0.25">
      <c r="A42">
        <v>41</v>
      </c>
      <c r="B42" t="str">
        <v>Rear Bearing</v>
      </c>
      <c r="C42">
        <v>3</v>
      </c>
      <c r="D42" t="str">
        <v>Purchased</v>
      </c>
      <c r="E42">
        <v>2</v>
      </c>
      <c r="F42" s="4">
        <f>G8</f>
        <v>46</v>
      </c>
      <c r="G42">
        <f t="shared" si="3"/>
        <v>44</v>
      </c>
      <c r="H42">
        <f t="shared" si="0"/>
        <v>0</v>
      </c>
      <c r="I42">
        <f t="shared" si="1"/>
        <v>44</v>
      </c>
    </row>
    <row r="43" spans="1:9" ht="17" x14ac:dyDescent="0.25">
      <c r="A43">
        <v>42</v>
      </c>
      <c r="B43" t="str">
        <v>Bearing Housing</v>
      </c>
      <c r="C43">
        <v>3</v>
      </c>
      <c r="D43" t="str">
        <v>Purchased</v>
      </c>
      <c r="E43">
        <v>2</v>
      </c>
      <c r="F43" s="4">
        <f>G8</f>
        <v>46</v>
      </c>
      <c r="G43">
        <f t="shared" si="3"/>
        <v>44</v>
      </c>
      <c r="H43">
        <f t="shared" si="0"/>
        <v>0</v>
      </c>
      <c r="I43">
        <f t="shared" si="1"/>
        <v>44</v>
      </c>
    </row>
    <row r="44" spans="1:9" ht="17" x14ac:dyDescent="0.25">
      <c r="A44">
        <v>43</v>
      </c>
      <c r="B44" t="str">
        <v>Shaft Sleeve</v>
      </c>
      <c r="C44">
        <v>3</v>
      </c>
      <c r="D44" t="str">
        <v>Purchased</v>
      </c>
      <c r="E44">
        <v>3</v>
      </c>
      <c r="F44" s="4">
        <f>G8</f>
        <v>46</v>
      </c>
      <c r="G44">
        <f t="shared" si="3"/>
        <v>43</v>
      </c>
      <c r="H44">
        <f t="shared" si="0"/>
        <v>0</v>
      </c>
      <c r="I44">
        <f t="shared" si="1"/>
        <v>43</v>
      </c>
    </row>
    <row r="45" spans="1:9" ht="17" x14ac:dyDescent="0.25">
      <c r="A45">
        <v>44</v>
      </c>
      <c r="B45" t="str">
        <v>Shaft Key</v>
      </c>
      <c r="C45">
        <v>3</v>
      </c>
      <c r="D45" t="str">
        <v>Purchased</v>
      </c>
      <c r="E45">
        <v>5</v>
      </c>
      <c r="F45" s="4">
        <f>G8</f>
        <v>46</v>
      </c>
      <c r="G45">
        <f t="shared" si="3"/>
        <v>41</v>
      </c>
      <c r="H45">
        <f t="shared" si="0"/>
        <v>0</v>
      </c>
      <c r="I45">
        <f t="shared" si="1"/>
        <v>41</v>
      </c>
    </row>
    <row r="46" spans="1:9" ht="17" x14ac:dyDescent="0.25">
      <c r="A46">
        <v>45</v>
      </c>
      <c r="B46" t="str">
        <v>Bearing Lock Nut</v>
      </c>
      <c r="C46">
        <v>3</v>
      </c>
      <c r="D46" t="str">
        <v>Purchased</v>
      </c>
      <c r="E46">
        <v>4</v>
      </c>
      <c r="F46" s="4">
        <f>G8*2</f>
        <v>92</v>
      </c>
      <c r="G46">
        <f t="shared" si="3"/>
        <v>88</v>
      </c>
      <c r="H46">
        <f t="shared" si="0"/>
        <v>0</v>
      </c>
      <c r="I46">
        <f t="shared" si="1"/>
        <v>88</v>
      </c>
    </row>
    <row r="47" spans="1:9" ht="17" x14ac:dyDescent="0.25">
      <c r="A47">
        <v>46</v>
      </c>
      <c r="B47" t="str">
        <v>Retaining Ring</v>
      </c>
      <c r="C47">
        <v>3</v>
      </c>
      <c r="D47" t="str">
        <v>Purchased</v>
      </c>
      <c r="E47">
        <v>5</v>
      </c>
      <c r="F47" s="4">
        <f>G8*4</f>
        <v>184</v>
      </c>
      <c r="G47">
        <f t="shared" si="3"/>
        <v>179</v>
      </c>
      <c r="H47">
        <f t="shared" si="0"/>
        <v>0</v>
      </c>
      <c r="I47">
        <f t="shared" si="1"/>
        <v>179</v>
      </c>
    </row>
    <row r="48" spans="1:9" ht="17" x14ac:dyDescent="0.25">
      <c r="A48">
        <v>47</v>
      </c>
      <c r="B48" t="str">
        <v>Spacer Ring</v>
      </c>
      <c r="C48">
        <v>3</v>
      </c>
      <c r="D48" t="str">
        <v>Purchased</v>
      </c>
      <c r="E48">
        <v>4</v>
      </c>
      <c r="F48" s="4">
        <f>G8*2</f>
        <v>92</v>
      </c>
      <c r="G48">
        <f t="shared" si="3"/>
        <v>88</v>
      </c>
      <c r="H48">
        <f t="shared" si="0"/>
        <v>0</v>
      </c>
      <c r="I48">
        <f t="shared" si="1"/>
        <v>88</v>
      </c>
    </row>
    <row r="49" spans="1:9" ht="17" x14ac:dyDescent="0.25">
      <c r="A49">
        <v>48</v>
      </c>
      <c r="B49" t="str">
        <v>Circlip</v>
      </c>
      <c r="C49">
        <v>3</v>
      </c>
      <c r="D49" t="str">
        <v>Purchased</v>
      </c>
      <c r="E49">
        <v>5</v>
      </c>
      <c r="F49" s="4">
        <f>G8*2</f>
        <v>92</v>
      </c>
      <c r="G49">
        <f t="shared" si="3"/>
        <v>87</v>
      </c>
      <c r="H49">
        <f t="shared" si="0"/>
        <v>0</v>
      </c>
      <c r="I49">
        <f t="shared" si="1"/>
        <v>87</v>
      </c>
    </row>
    <row r="50" spans="1:9" ht="17" x14ac:dyDescent="0.25">
      <c r="A50">
        <v>49</v>
      </c>
      <c r="B50" t="str">
        <v>Rotating Seal Ring</v>
      </c>
      <c r="C50">
        <v>3</v>
      </c>
      <c r="D50" t="str">
        <v>Purchased</v>
      </c>
      <c r="E50">
        <v>3</v>
      </c>
      <c r="F50" s="4">
        <f>G9</f>
        <v>44</v>
      </c>
      <c r="G50">
        <f t="shared" si="3"/>
        <v>41</v>
      </c>
      <c r="H50">
        <f t="shared" si="0"/>
        <v>0</v>
      </c>
      <c r="I50">
        <f t="shared" si="1"/>
        <v>41</v>
      </c>
    </row>
    <row r="51" spans="1:9" ht="17" x14ac:dyDescent="0.25">
      <c r="A51">
        <v>50</v>
      </c>
      <c r="B51" t="str">
        <v>Stationary Seal Ring</v>
      </c>
      <c r="C51">
        <v>3</v>
      </c>
      <c r="D51" t="str">
        <v>Purchased</v>
      </c>
      <c r="E51">
        <v>3</v>
      </c>
      <c r="F51" s="4">
        <f>G9</f>
        <v>44</v>
      </c>
      <c r="G51">
        <f t="shared" si="3"/>
        <v>41</v>
      </c>
      <c r="H51">
        <f t="shared" si="0"/>
        <v>0</v>
      </c>
      <c r="I51">
        <f t="shared" si="1"/>
        <v>41</v>
      </c>
    </row>
    <row r="52" spans="1:9" ht="17" x14ac:dyDescent="0.25">
      <c r="A52">
        <v>51</v>
      </c>
      <c r="B52" t="str">
        <v>Spring</v>
      </c>
      <c r="C52">
        <v>3</v>
      </c>
      <c r="D52" t="str">
        <v>Purchased</v>
      </c>
      <c r="E52">
        <v>5</v>
      </c>
      <c r="F52" s="4">
        <f>G9</f>
        <v>44</v>
      </c>
      <c r="G52">
        <f t="shared" si="3"/>
        <v>39</v>
      </c>
      <c r="H52">
        <f t="shared" si="0"/>
        <v>0</v>
      </c>
      <c r="I52">
        <f t="shared" si="1"/>
        <v>39</v>
      </c>
    </row>
    <row r="53" spans="1:9" ht="17" x14ac:dyDescent="0.25">
      <c r="A53">
        <v>52</v>
      </c>
      <c r="B53" t="str">
        <v>O-Ring</v>
      </c>
      <c r="C53">
        <v>3</v>
      </c>
      <c r="D53" t="str">
        <v>Purchased</v>
      </c>
      <c r="E53">
        <v>6</v>
      </c>
      <c r="F53" s="4">
        <f>G9*4</f>
        <v>176</v>
      </c>
      <c r="G53">
        <f t="shared" si="3"/>
        <v>170</v>
      </c>
      <c r="H53">
        <f t="shared" si="0"/>
        <v>0</v>
      </c>
      <c r="I53">
        <f t="shared" si="1"/>
        <v>170</v>
      </c>
    </row>
    <row r="54" spans="1:9" ht="17" x14ac:dyDescent="0.25">
      <c r="A54">
        <v>53</v>
      </c>
      <c r="B54" t="str">
        <v>Seal Retainer</v>
      </c>
      <c r="C54">
        <v>3</v>
      </c>
      <c r="D54" t="str">
        <v>Purchased</v>
      </c>
      <c r="E54">
        <v>3</v>
      </c>
      <c r="F54" s="4">
        <f>G9</f>
        <v>44</v>
      </c>
      <c r="G54">
        <f t="shared" si="3"/>
        <v>41</v>
      </c>
      <c r="H54">
        <f t="shared" si="0"/>
        <v>0</v>
      </c>
      <c r="I54">
        <f t="shared" si="1"/>
        <v>41</v>
      </c>
    </row>
    <row r="55" spans="1:9" ht="17" x14ac:dyDescent="0.25">
      <c r="A55">
        <v>54</v>
      </c>
      <c r="B55" t="str">
        <v>Drive Pin</v>
      </c>
      <c r="C55">
        <v>3</v>
      </c>
      <c r="D55" t="str">
        <v>Purchased</v>
      </c>
      <c r="E55">
        <v>4</v>
      </c>
      <c r="F55" s="4">
        <f>G9*2</f>
        <v>88</v>
      </c>
      <c r="G55">
        <f t="shared" si="3"/>
        <v>84</v>
      </c>
      <c r="H55">
        <f t="shared" si="0"/>
        <v>0</v>
      </c>
      <c r="I55">
        <f t="shared" si="1"/>
        <v>84</v>
      </c>
    </row>
    <row r="56" spans="1:9" ht="17" x14ac:dyDescent="0.25">
      <c r="A56">
        <v>55</v>
      </c>
      <c r="B56" t="str">
        <v>Retaining Clip</v>
      </c>
      <c r="C56">
        <v>3</v>
      </c>
      <c r="D56" t="str">
        <v>Purchased</v>
      </c>
      <c r="E56">
        <v>4</v>
      </c>
      <c r="F56" s="4">
        <f>G9*2</f>
        <v>88</v>
      </c>
      <c r="G56">
        <f t="shared" si="3"/>
        <v>84</v>
      </c>
      <c r="H56">
        <f t="shared" si="0"/>
        <v>0</v>
      </c>
      <c r="I56">
        <f t="shared" si="1"/>
        <v>84</v>
      </c>
    </row>
    <row r="57" spans="1:9" ht="17" x14ac:dyDescent="0.25">
      <c r="A57">
        <v>56</v>
      </c>
      <c r="B57" t="str">
        <v>Motor Housing</v>
      </c>
      <c r="C57">
        <v>3</v>
      </c>
      <c r="D57" t="str">
        <v>Purchased</v>
      </c>
      <c r="E57">
        <v>2</v>
      </c>
      <c r="F57" s="4">
        <f>G12</f>
        <v>45</v>
      </c>
      <c r="G57">
        <f t="shared" si="3"/>
        <v>43</v>
      </c>
      <c r="H57">
        <f t="shared" si="0"/>
        <v>0</v>
      </c>
      <c r="I57">
        <f t="shared" si="1"/>
        <v>43</v>
      </c>
    </row>
    <row r="58" spans="1:9" ht="17" x14ac:dyDescent="0.25">
      <c r="A58">
        <v>57</v>
      </c>
      <c r="B58" t="str">
        <v>Fan Cover</v>
      </c>
      <c r="C58">
        <v>3</v>
      </c>
      <c r="D58" t="str">
        <v>Purchased</v>
      </c>
      <c r="E58">
        <v>3</v>
      </c>
      <c r="F58" s="4">
        <f>G12</f>
        <v>45</v>
      </c>
      <c r="G58">
        <f t="shared" si="3"/>
        <v>42</v>
      </c>
      <c r="H58">
        <f t="shared" si="0"/>
        <v>0</v>
      </c>
      <c r="I58">
        <f t="shared" si="1"/>
        <v>42</v>
      </c>
    </row>
    <row r="59" spans="1:9" ht="17" x14ac:dyDescent="0.25">
      <c r="A59">
        <v>58</v>
      </c>
      <c r="B59" t="str">
        <v>Nameplate</v>
      </c>
      <c r="C59">
        <v>3</v>
      </c>
      <c r="D59" t="str">
        <v>Purchased</v>
      </c>
      <c r="E59">
        <v>5</v>
      </c>
      <c r="F59" s="4">
        <f>G12</f>
        <v>45</v>
      </c>
      <c r="G59">
        <f t="shared" si="3"/>
        <v>40</v>
      </c>
      <c r="H59">
        <f t="shared" si="0"/>
        <v>0</v>
      </c>
      <c r="I59">
        <f t="shared" si="1"/>
        <v>40</v>
      </c>
    </row>
    <row r="60" spans="1:9" ht="17" x14ac:dyDescent="0.25">
      <c r="A60">
        <v>59</v>
      </c>
      <c r="B60" t="str">
        <v>Cable Gland</v>
      </c>
      <c r="C60">
        <v>3</v>
      </c>
      <c r="D60" t="str">
        <v>Purchased</v>
      </c>
      <c r="E60">
        <v>4</v>
      </c>
      <c r="F60" s="4">
        <f>G12*2</f>
        <v>90</v>
      </c>
      <c r="G60">
        <f t="shared" si="3"/>
        <v>86</v>
      </c>
      <c r="H60">
        <f t="shared" si="0"/>
        <v>0</v>
      </c>
      <c r="I60">
        <f t="shared" si="1"/>
        <v>86</v>
      </c>
    </row>
    <row r="61" spans="1:9" ht="17" x14ac:dyDescent="0.25">
      <c r="A61">
        <v>60</v>
      </c>
      <c r="B61" t="str">
        <v>Mounting Bolt</v>
      </c>
      <c r="C61">
        <v>3</v>
      </c>
      <c r="D61" t="str">
        <v>Purchased</v>
      </c>
      <c r="E61">
        <v>6</v>
      </c>
      <c r="F61" s="4">
        <f>G12*8</f>
        <v>360</v>
      </c>
      <c r="G61">
        <f t="shared" si="3"/>
        <v>354</v>
      </c>
      <c r="H61">
        <f t="shared" si="0"/>
        <v>0</v>
      </c>
      <c r="I61">
        <f t="shared" si="1"/>
        <v>354</v>
      </c>
    </row>
    <row r="62" spans="1:9" ht="17" x14ac:dyDescent="0.25">
      <c r="A62">
        <v>61</v>
      </c>
      <c r="B62" t="str">
        <v>Mounting Nut</v>
      </c>
      <c r="C62">
        <v>3</v>
      </c>
      <c r="D62" t="str">
        <v>Purchased</v>
      </c>
      <c r="E62">
        <v>6</v>
      </c>
      <c r="F62" s="4">
        <f>G12*8</f>
        <v>360</v>
      </c>
      <c r="G62">
        <f t="shared" si="3"/>
        <v>354</v>
      </c>
      <c r="H62">
        <f t="shared" si="0"/>
        <v>0</v>
      </c>
      <c r="I62">
        <f t="shared" si="1"/>
        <v>354</v>
      </c>
    </row>
    <row r="63" spans="1:9" ht="17" x14ac:dyDescent="0.25">
      <c r="A63">
        <v>62</v>
      </c>
      <c r="B63" t="str">
        <v>Lock Washer</v>
      </c>
      <c r="C63">
        <v>3</v>
      </c>
      <c r="D63" t="str">
        <v>Purchased</v>
      </c>
      <c r="E63">
        <v>6</v>
      </c>
      <c r="F63" s="4">
        <f>G12*8+G13*2+G15*2</f>
        <v>540</v>
      </c>
      <c r="G63">
        <f t="shared" si="3"/>
        <v>534</v>
      </c>
      <c r="H63">
        <f t="shared" si="0"/>
        <v>0</v>
      </c>
      <c r="I63">
        <f t="shared" si="1"/>
        <v>534</v>
      </c>
    </row>
    <row r="64" spans="1:9" ht="17" x14ac:dyDescent="0.25">
      <c r="A64">
        <v>63</v>
      </c>
      <c r="B64" t="str">
        <v>Rotor Shaft</v>
      </c>
      <c r="C64">
        <v>3</v>
      </c>
      <c r="D64" t="str">
        <v>Purchased</v>
      </c>
      <c r="E64">
        <v>2</v>
      </c>
      <c r="F64" s="4">
        <f>G13</f>
        <v>46</v>
      </c>
      <c r="G64">
        <f t="shared" si="3"/>
        <v>44</v>
      </c>
      <c r="H64">
        <f t="shared" si="0"/>
        <v>0</v>
      </c>
      <c r="I64">
        <f t="shared" si="1"/>
        <v>44</v>
      </c>
    </row>
    <row r="65" spans="1:9" ht="17" x14ac:dyDescent="0.25">
      <c r="A65">
        <v>64</v>
      </c>
      <c r="B65" t="str">
        <v>Rotor Core</v>
      </c>
      <c r="C65">
        <v>3</v>
      </c>
      <c r="D65" t="str">
        <v>Purchased</v>
      </c>
      <c r="E65">
        <v>2</v>
      </c>
      <c r="F65" s="4">
        <f>G13</f>
        <v>46</v>
      </c>
      <c r="G65">
        <f t="shared" si="3"/>
        <v>44</v>
      </c>
      <c r="H65">
        <f t="shared" si="0"/>
        <v>0</v>
      </c>
      <c r="I65">
        <f t="shared" si="1"/>
        <v>44</v>
      </c>
    </row>
    <row r="66" spans="1:9" ht="17" x14ac:dyDescent="0.25">
      <c r="A66">
        <v>65</v>
      </c>
      <c r="B66" t="str">
        <v>Copper Bars</v>
      </c>
      <c r="C66">
        <v>3</v>
      </c>
      <c r="D66" t="str">
        <v>Purchased</v>
      </c>
      <c r="E66">
        <v>6</v>
      </c>
      <c r="F66" s="4">
        <f>G13*28</f>
        <v>1288</v>
      </c>
      <c r="G66">
        <f t="shared" si="3"/>
        <v>1282</v>
      </c>
      <c r="H66">
        <f t="shared" si="0"/>
        <v>0</v>
      </c>
      <c r="I66">
        <f t="shared" si="1"/>
        <v>1282</v>
      </c>
    </row>
    <row r="67" spans="1:9" ht="17" x14ac:dyDescent="0.25">
      <c r="A67">
        <v>66</v>
      </c>
      <c r="B67" t="str">
        <v>End Rings</v>
      </c>
      <c r="C67">
        <v>3</v>
      </c>
      <c r="D67" t="str">
        <v>Purchased</v>
      </c>
      <c r="E67">
        <v>4</v>
      </c>
      <c r="F67" s="4">
        <f>G13*2</f>
        <v>92</v>
      </c>
      <c r="G67">
        <f t="shared" si="3"/>
        <v>88</v>
      </c>
      <c r="H67">
        <f t="shared" ref="H67:H86" si="4">IF(D67="Manufactured",G67,0)</f>
        <v>0</v>
      </c>
      <c r="I67">
        <f t="shared" ref="I67:I86" si="5">IF(D67="Purchased",G67,0)</f>
        <v>88</v>
      </c>
    </row>
    <row r="68" spans="1:9" ht="17" x14ac:dyDescent="0.25">
      <c r="A68">
        <v>67</v>
      </c>
      <c r="B68" t="str">
        <v>Rotor Retaining Ring</v>
      </c>
      <c r="C68">
        <v>3</v>
      </c>
      <c r="D68" t="str">
        <v>Purchased</v>
      </c>
      <c r="E68">
        <v>4</v>
      </c>
      <c r="F68" s="4">
        <f>G13*2</f>
        <v>92</v>
      </c>
      <c r="G68">
        <f t="shared" si="3"/>
        <v>88</v>
      </c>
      <c r="H68">
        <f t="shared" si="4"/>
        <v>0</v>
      </c>
      <c r="I68">
        <f t="shared" si="5"/>
        <v>88</v>
      </c>
    </row>
    <row r="69" spans="1:9" ht="17" x14ac:dyDescent="0.25">
      <c r="A69">
        <v>68</v>
      </c>
      <c r="B69" t="str">
        <v>Balancing Weight</v>
      </c>
      <c r="C69">
        <v>3</v>
      </c>
      <c r="D69" t="str">
        <v>Purchased</v>
      </c>
      <c r="E69">
        <v>5</v>
      </c>
      <c r="F69" s="4">
        <f>G13*4</f>
        <v>184</v>
      </c>
      <c r="G69">
        <f t="shared" si="3"/>
        <v>179</v>
      </c>
      <c r="H69">
        <f t="shared" si="4"/>
        <v>0</v>
      </c>
      <c r="I69">
        <f t="shared" si="5"/>
        <v>179</v>
      </c>
    </row>
    <row r="70" spans="1:9" ht="17" x14ac:dyDescent="0.25">
      <c r="A70">
        <v>69</v>
      </c>
      <c r="B70" t="str">
        <v>Stator Core</v>
      </c>
      <c r="C70">
        <v>3</v>
      </c>
      <c r="D70" t="str">
        <v>Purchased</v>
      </c>
      <c r="E70">
        <v>2</v>
      </c>
      <c r="F70" s="4">
        <f>G14</f>
        <v>45</v>
      </c>
      <c r="G70">
        <f t="shared" si="3"/>
        <v>43</v>
      </c>
      <c r="H70">
        <f t="shared" si="4"/>
        <v>0</v>
      </c>
      <c r="I70">
        <f t="shared" si="5"/>
        <v>43</v>
      </c>
    </row>
    <row r="71" spans="1:9" ht="17" x14ac:dyDescent="0.25">
      <c r="A71">
        <v>70</v>
      </c>
      <c r="B71" t="str">
        <v>Copper Windings</v>
      </c>
      <c r="C71">
        <v>3</v>
      </c>
      <c r="D71" t="str">
        <v>Purchased</v>
      </c>
      <c r="E71">
        <v>6</v>
      </c>
      <c r="F71" s="4">
        <f>G14*6</f>
        <v>270</v>
      </c>
      <c r="G71">
        <f t="shared" si="3"/>
        <v>264</v>
      </c>
      <c r="H71">
        <f t="shared" si="4"/>
        <v>0</v>
      </c>
      <c r="I71">
        <f t="shared" si="5"/>
        <v>264</v>
      </c>
    </row>
    <row r="72" spans="1:9" ht="17" x14ac:dyDescent="0.25">
      <c r="A72">
        <v>71</v>
      </c>
      <c r="B72" t="str">
        <v>Insulation Paper</v>
      </c>
      <c r="C72">
        <v>3</v>
      </c>
      <c r="D72" t="str">
        <v>Purchased</v>
      </c>
      <c r="E72">
        <v>8</v>
      </c>
      <c r="F72" s="4">
        <f>G14*24</f>
        <v>1080</v>
      </c>
      <c r="G72">
        <f t="shared" si="3"/>
        <v>1072</v>
      </c>
      <c r="H72">
        <f t="shared" si="4"/>
        <v>0</v>
      </c>
      <c r="I72">
        <f t="shared" si="5"/>
        <v>1072</v>
      </c>
    </row>
    <row r="73" spans="1:9" ht="17" x14ac:dyDescent="0.25">
      <c r="A73">
        <v>72</v>
      </c>
      <c r="B73" t="str">
        <v>Slot Wedges</v>
      </c>
      <c r="C73">
        <v>3</v>
      </c>
      <c r="D73" t="str">
        <v>Purchased</v>
      </c>
      <c r="E73">
        <v>6</v>
      </c>
      <c r="F73" s="4">
        <f>G14*24</f>
        <v>1080</v>
      </c>
      <c r="G73">
        <f t="shared" si="3"/>
        <v>1074</v>
      </c>
      <c r="H73">
        <f t="shared" si="4"/>
        <v>0</v>
      </c>
      <c r="I73">
        <f t="shared" si="5"/>
        <v>1074</v>
      </c>
    </row>
    <row r="74" spans="1:9" ht="17" x14ac:dyDescent="0.25">
      <c r="A74">
        <v>73</v>
      </c>
      <c r="B74" t="str">
        <v>Terminal Leads</v>
      </c>
      <c r="C74">
        <v>3</v>
      </c>
      <c r="D74" t="str">
        <v>Purchased</v>
      </c>
      <c r="E74">
        <v>5</v>
      </c>
      <c r="F74" s="4">
        <f>G14*3</f>
        <v>135</v>
      </c>
      <c r="G74">
        <f t="shared" si="3"/>
        <v>130</v>
      </c>
      <c r="H74">
        <f t="shared" si="4"/>
        <v>0</v>
      </c>
      <c r="I74">
        <f t="shared" si="5"/>
        <v>130</v>
      </c>
    </row>
    <row r="75" spans="1:9" ht="17" x14ac:dyDescent="0.25">
      <c r="A75">
        <v>74</v>
      </c>
      <c r="B75" t="str">
        <v>Insulating Sleeves</v>
      </c>
      <c r="C75">
        <v>3</v>
      </c>
      <c r="D75" t="str">
        <v>Purchased</v>
      </c>
      <c r="E75">
        <v>4</v>
      </c>
      <c r="F75" s="4">
        <f>G14*12</f>
        <v>540</v>
      </c>
      <c r="G75">
        <f t="shared" si="3"/>
        <v>536</v>
      </c>
      <c r="H75">
        <f t="shared" si="4"/>
        <v>0</v>
      </c>
      <c r="I75">
        <f t="shared" si="5"/>
        <v>536</v>
      </c>
    </row>
    <row r="76" spans="1:9" ht="17" x14ac:dyDescent="0.25">
      <c r="A76">
        <v>75</v>
      </c>
      <c r="B76" t="str">
        <v>Cable Ties</v>
      </c>
      <c r="C76">
        <v>3</v>
      </c>
      <c r="D76" t="str">
        <v>Purchased</v>
      </c>
      <c r="E76">
        <v>5</v>
      </c>
      <c r="F76" s="4">
        <f>G14*12</f>
        <v>540</v>
      </c>
      <c r="G76">
        <f t="shared" si="3"/>
        <v>535</v>
      </c>
      <c r="H76">
        <f t="shared" si="4"/>
        <v>0</v>
      </c>
      <c r="I76">
        <f t="shared" si="5"/>
        <v>535</v>
      </c>
    </row>
    <row r="77" spans="1:9" ht="17" x14ac:dyDescent="0.25">
      <c r="A77">
        <v>76</v>
      </c>
      <c r="B77" t="str">
        <v>Varnish Pack</v>
      </c>
      <c r="C77">
        <v>3</v>
      </c>
      <c r="D77" t="str">
        <v>Purchased</v>
      </c>
      <c r="E77">
        <v>3</v>
      </c>
      <c r="F77" s="4">
        <f>G14</f>
        <v>45</v>
      </c>
      <c r="G77">
        <f t="shared" si="3"/>
        <v>42</v>
      </c>
      <c r="H77">
        <f t="shared" si="4"/>
        <v>0</v>
      </c>
      <c r="I77">
        <f t="shared" si="5"/>
        <v>42</v>
      </c>
    </row>
    <row r="78" spans="1:9" ht="17" x14ac:dyDescent="0.25">
      <c r="A78">
        <v>77</v>
      </c>
      <c r="B78" t="str">
        <v>Cooling Fan</v>
      </c>
      <c r="C78">
        <v>3</v>
      </c>
      <c r="D78" t="str">
        <v>Purchased</v>
      </c>
      <c r="E78">
        <v>3</v>
      </c>
      <c r="F78" s="4">
        <f>G15</f>
        <v>44</v>
      </c>
      <c r="G78">
        <f t="shared" si="3"/>
        <v>41</v>
      </c>
      <c r="H78">
        <f t="shared" si="4"/>
        <v>0</v>
      </c>
      <c r="I78">
        <f t="shared" si="5"/>
        <v>41</v>
      </c>
    </row>
    <row r="79" spans="1:9" ht="17" x14ac:dyDescent="0.25">
      <c r="A79">
        <v>78</v>
      </c>
      <c r="B79" t="str">
        <v>Fan Hub</v>
      </c>
      <c r="C79">
        <v>3</v>
      </c>
      <c r="D79" t="str">
        <v>Purchased</v>
      </c>
      <c r="E79">
        <v>3</v>
      </c>
      <c r="F79" s="4">
        <f>G15</f>
        <v>44</v>
      </c>
      <c r="G79">
        <f t="shared" si="3"/>
        <v>41</v>
      </c>
      <c r="H79">
        <f t="shared" si="4"/>
        <v>0</v>
      </c>
      <c r="I79">
        <f t="shared" si="5"/>
        <v>41</v>
      </c>
    </row>
    <row r="80" spans="1:9" ht="17" x14ac:dyDescent="0.25">
      <c r="A80">
        <v>79</v>
      </c>
      <c r="B80" t="str">
        <v>Set Screw</v>
      </c>
      <c r="C80">
        <v>3</v>
      </c>
      <c r="D80" t="str">
        <v>Purchased</v>
      </c>
      <c r="E80">
        <v>5</v>
      </c>
      <c r="F80" s="4">
        <f>G15*2</f>
        <v>88</v>
      </c>
      <c r="G80">
        <f t="shared" si="3"/>
        <v>83</v>
      </c>
      <c r="H80">
        <f t="shared" si="4"/>
        <v>0</v>
      </c>
      <c r="I80">
        <f t="shared" si="5"/>
        <v>83</v>
      </c>
    </row>
    <row r="81" spans="1:12" ht="17" x14ac:dyDescent="0.25">
      <c r="A81">
        <v>80</v>
      </c>
      <c r="B81" t="str">
        <v>Terminal Box</v>
      </c>
      <c r="C81">
        <v>3</v>
      </c>
      <c r="D81" t="str">
        <v>Purchased</v>
      </c>
      <c r="E81">
        <v>3</v>
      </c>
      <c r="F81" s="4">
        <f>G16</f>
        <v>45</v>
      </c>
      <c r="G81">
        <f t="shared" si="3"/>
        <v>42</v>
      </c>
      <c r="H81">
        <f t="shared" si="4"/>
        <v>0</v>
      </c>
      <c r="I81">
        <f t="shared" si="5"/>
        <v>42</v>
      </c>
    </row>
    <row r="82" spans="1:12" ht="17" x14ac:dyDescent="0.25">
      <c r="A82">
        <v>81</v>
      </c>
      <c r="B82" t="str">
        <v>Terminal Block</v>
      </c>
      <c r="C82">
        <v>3</v>
      </c>
      <c r="D82" t="str">
        <v>Purchased</v>
      </c>
      <c r="E82">
        <v>4</v>
      </c>
      <c r="F82" s="4">
        <f>G16</f>
        <v>45</v>
      </c>
      <c r="G82">
        <f t="shared" si="3"/>
        <v>41</v>
      </c>
      <c r="H82">
        <f t="shared" si="4"/>
        <v>0</v>
      </c>
      <c r="I82">
        <f t="shared" si="5"/>
        <v>41</v>
      </c>
    </row>
    <row r="83" spans="1:12" ht="17" x14ac:dyDescent="0.25">
      <c r="A83">
        <v>82</v>
      </c>
      <c r="B83" t="str">
        <v>Terminal Cover</v>
      </c>
      <c r="C83">
        <v>3</v>
      </c>
      <c r="D83" t="str">
        <v>Purchased</v>
      </c>
      <c r="E83">
        <v>4</v>
      </c>
      <c r="F83" s="4">
        <f>G16</f>
        <v>45</v>
      </c>
      <c r="G83">
        <f t="shared" si="3"/>
        <v>41</v>
      </c>
      <c r="H83">
        <f t="shared" si="4"/>
        <v>0</v>
      </c>
      <c r="I83">
        <f t="shared" si="5"/>
        <v>41</v>
      </c>
      <c r="L83" s="4"/>
    </row>
    <row r="84" spans="1:12" ht="17" x14ac:dyDescent="0.25">
      <c r="A84">
        <v>83</v>
      </c>
      <c r="B84" t="str">
        <v>Terminal Screw</v>
      </c>
      <c r="C84">
        <v>3</v>
      </c>
      <c r="D84" t="str">
        <v>Purchased</v>
      </c>
      <c r="E84">
        <v>6</v>
      </c>
      <c r="F84" s="4">
        <f>G16*6</f>
        <v>270</v>
      </c>
      <c r="G84">
        <f t="shared" si="3"/>
        <v>264</v>
      </c>
      <c r="H84">
        <f t="shared" si="4"/>
        <v>0</v>
      </c>
      <c r="I84">
        <f t="shared" si="5"/>
        <v>264</v>
      </c>
      <c r="L84" s="4"/>
    </row>
    <row r="85" spans="1:12" ht="17" x14ac:dyDescent="0.25">
      <c r="A85">
        <v>84</v>
      </c>
      <c r="B85" t="str">
        <v>Terminal Nut</v>
      </c>
      <c r="C85">
        <v>3</v>
      </c>
      <c r="D85" t="str">
        <v>Purchased</v>
      </c>
      <c r="E85">
        <v>6</v>
      </c>
      <c r="F85" s="4">
        <f>G16*6</f>
        <v>270</v>
      </c>
      <c r="G85">
        <f t="shared" si="3"/>
        <v>264</v>
      </c>
      <c r="H85">
        <f t="shared" si="4"/>
        <v>0</v>
      </c>
      <c r="I85">
        <f t="shared" si="5"/>
        <v>264</v>
      </c>
    </row>
    <row r="86" spans="1:12" ht="17" x14ac:dyDescent="0.25">
      <c r="A86">
        <v>85</v>
      </c>
      <c r="B86" t="str">
        <v>Cable Clamp</v>
      </c>
      <c r="C86">
        <v>3</v>
      </c>
      <c r="D86" t="str">
        <v>Purchased</v>
      </c>
      <c r="E86">
        <v>4</v>
      </c>
      <c r="F86" s="4">
        <f>G16*2</f>
        <v>90</v>
      </c>
      <c r="G86">
        <f t="shared" si="3"/>
        <v>86</v>
      </c>
      <c r="H86">
        <f t="shared" si="4"/>
        <v>0</v>
      </c>
      <c r="I86">
        <f t="shared" si="5"/>
        <v>86</v>
      </c>
    </row>
    <row r="87" spans="1:12" ht="17" x14ac:dyDescent="0.25">
      <c r="F87" s="4"/>
    </row>
    <row r="88" spans="1:12" ht="17" x14ac:dyDescent="0.25">
      <c r="F88" s="4"/>
    </row>
  </sheetData>
  <pageMargins left="0.7" right="0.7" top="0.75" bottom="0.75" header="0.3" footer="0.3"/>
  <ignoredErrors>
    <ignoredError sqref="F1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CF49-A03F-7F48-B937-C41B8E2981F5}">
  <dimension ref="A1:E14"/>
  <sheetViews>
    <sheetView workbookViewId="0">
      <selection activeCell="N11" sqref="N11"/>
    </sheetView>
  </sheetViews>
  <sheetFormatPr baseColWidth="10" defaultRowHeight="16" x14ac:dyDescent="0.2"/>
  <cols>
    <col min="1" max="5" width="21.5" customWidth="1"/>
  </cols>
  <sheetData>
    <row r="1" spans="1:5" x14ac:dyDescent="0.2">
      <c r="A1" t="s">
        <v>176</v>
      </c>
      <c r="B1" t="s">
        <v>0</v>
      </c>
      <c r="C1" t="s">
        <v>1</v>
      </c>
      <c r="D1" t="s">
        <v>177</v>
      </c>
      <c r="E1" t="s">
        <v>114</v>
      </c>
    </row>
    <row r="2" spans="1:5" x14ac:dyDescent="0.2">
      <c r="A2" cm="1">
        <f t="array" ref="A2:A14">_xlfn.SEQUENCE(ROWS(_xlfn.ANCHORARRAY(B2)))</f>
        <v>1</v>
      </c>
      <c r="B2" cm="1">
        <f t="array" ref="B2:B14">_xlfn._xlws.FILTER(MRP!A2:A86,MRP!H2:H86&gt;0)</f>
        <v>1</v>
      </c>
      <c r="C2" t="str" cm="1">
        <f t="array" ref="C2:C14">_xlfn.XLOOKUP(_xlfn.ANCHORARRAY(B2),MRP!A2:A86,MRP!B2:B86)</f>
        <v>Industrial Centrifugal Water Pump</v>
      </c>
      <c r="D2" cm="1">
        <f t="array" ref="D2:D14">_xlfn.XLOOKUP(_xlfn.ANCHORARRAY(B2),MRP!A2:A86,MRP!H2:H86)</f>
        <v>46</v>
      </c>
      <c r="E2" t="str" cm="1">
        <f t="array" ref="E2:E14">IF(_xlfn.ANCHORARRAY(B2)&lt;&gt;"","Planned","")</f>
        <v>Planned</v>
      </c>
    </row>
    <row r="3" spans="1:5" x14ac:dyDescent="0.2">
      <c r="A3">
        <v>2</v>
      </c>
      <c r="B3">
        <v>2</v>
      </c>
      <c r="C3" t="str">
        <v>Pump Assembly</v>
      </c>
      <c r="D3">
        <v>46</v>
      </c>
      <c r="E3" t="str">
        <v>Planned</v>
      </c>
    </row>
    <row r="4" spans="1:5" x14ac:dyDescent="0.2">
      <c r="A4">
        <v>3</v>
      </c>
      <c r="B4">
        <v>3</v>
      </c>
      <c r="C4" t="str">
        <v>Electric Motor Assembly</v>
      </c>
      <c r="D4">
        <v>46</v>
      </c>
      <c r="E4" t="str">
        <v>Planned</v>
      </c>
    </row>
    <row r="5" spans="1:5" x14ac:dyDescent="0.2">
      <c r="A5">
        <v>4</v>
      </c>
      <c r="B5">
        <v>4</v>
      </c>
      <c r="C5" t="str">
        <v>Base Frame Assembly</v>
      </c>
      <c r="D5">
        <v>46</v>
      </c>
      <c r="E5" t="str">
        <v>Planned</v>
      </c>
    </row>
    <row r="6" spans="1:5" x14ac:dyDescent="0.2">
      <c r="A6">
        <v>5</v>
      </c>
      <c r="B6">
        <v>5</v>
      </c>
      <c r="C6" t="str">
        <v>Packaging Assembly</v>
      </c>
      <c r="D6">
        <v>46</v>
      </c>
      <c r="E6" t="str">
        <v>Planned</v>
      </c>
    </row>
    <row r="7" spans="1:5" x14ac:dyDescent="0.2">
      <c r="A7">
        <v>6</v>
      </c>
      <c r="B7">
        <v>6</v>
      </c>
      <c r="C7" t="str">
        <v>Casing Assembly</v>
      </c>
      <c r="D7">
        <v>45</v>
      </c>
      <c r="E7" t="str">
        <v>Planned</v>
      </c>
    </row>
    <row r="8" spans="1:5" x14ac:dyDescent="0.2">
      <c r="A8">
        <v>7</v>
      </c>
      <c r="B8">
        <v>7</v>
      </c>
      <c r="C8" t="str">
        <v>Rotating Assembly</v>
      </c>
      <c r="D8">
        <v>46</v>
      </c>
      <c r="E8" t="str">
        <v>Planned</v>
      </c>
    </row>
    <row r="9" spans="1:5" x14ac:dyDescent="0.2">
      <c r="A9">
        <v>8</v>
      </c>
      <c r="B9">
        <v>8</v>
      </c>
      <c r="C9" t="str">
        <v>Mechanical Seal Assembly</v>
      </c>
      <c r="D9">
        <v>44</v>
      </c>
      <c r="E9" t="str">
        <v>Planned</v>
      </c>
    </row>
    <row r="10" spans="1:5" x14ac:dyDescent="0.2">
      <c r="A10">
        <v>9</v>
      </c>
      <c r="B10">
        <v>11</v>
      </c>
      <c r="C10" t="str">
        <v>Motor Housing Assembly</v>
      </c>
      <c r="D10">
        <v>45</v>
      </c>
      <c r="E10" t="str">
        <v>Planned</v>
      </c>
    </row>
    <row r="11" spans="1:5" x14ac:dyDescent="0.2">
      <c r="A11">
        <v>10</v>
      </c>
      <c r="B11">
        <v>12</v>
      </c>
      <c r="C11" t="str">
        <v>Rotor Assembly</v>
      </c>
      <c r="D11">
        <v>46</v>
      </c>
      <c r="E11" t="str">
        <v>Planned</v>
      </c>
    </row>
    <row r="12" spans="1:5" x14ac:dyDescent="0.2">
      <c r="A12">
        <v>11</v>
      </c>
      <c r="B12">
        <v>13</v>
      </c>
      <c r="C12" t="str">
        <v>Stator Assembly</v>
      </c>
      <c r="D12">
        <v>45</v>
      </c>
      <c r="E12" t="str">
        <v>Planned</v>
      </c>
    </row>
    <row r="13" spans="1:5" x14ac:dyDescent="0.2">
      <c r="A13">
        <v>12</v>
      </c>
      <c r="B13">
        <v>14</v>
      </c>
      <c r="C13" t="str">
        <v>Cooling Fan Assembly</v>
      </c>
      <c r="D13">
        <v>44</v>
      </c>
      <c r="E13" t="str">
        <v>Planned</v>
      </c>
    </row>
    <row r="14" spans="1:5" x14ac:dyDescent="0.2">
      <c r="A14">
        <v>13</v>
      </c>
      <c r="B14">
        <v>15</v>
      </c>
      <c r="C14" t="str">
        <v>Terminal Box Assembly</v>
      </c>
      <c r="D14">
        <v>45</v>
      </c>
      <c r="E14" t="str">
        <v>Planned</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9236-19F4-B240-B43E-C61B5F754329}">
  <dimension ref="A1:G73"/>
  <sheetViews>
    <sheetView zoomScale="85" workbookViewId="0">
      <selection activeCell="P25" sqref="P25"/>
    </sheetView>
  </sheetViews>
  <sheetFormatPr baseColWidth="10" defaultRowHeight="16" x14ac:dyDescent="0.2"/>
  <cols>
    <col min="1" max="7" width="21.6640625" customWidth="1"/>
  </cols>
  <sheetData>
    <row r="1" spans="1:7" x14ac:dyDescent="0.2">
      <c r="A1" t="s">
        <v>178</v>
      </c>
      <c r="B1" t="s">
        <v>0</v>
      </c>
      <c r="C1" t="s">
        <v>1</v>
      </c>
      <c r="D1" t="s">
        <v>5</v>
      </c>
      <c r="E1" t="s">
        <v>129</v>
      </c>
      <c r="F1" t="s">
        <v>177</v>
      </c>
      <c r="G1" t="s">
        <v>114</v>
      </c>
    </row>
    <row r="2" spans="1:7" x14ac:dyDescent="0.2">
      <c r="A2" cm="1">
        <f t="array" ref="A2:A73">_xlfn.SEQUENCE(ROWS(_xlfn.ANCHORARRAY(B2)))</f>
        <v>1</v>
      </c>
      <c r="B2" cm="1">
        <f t="array" ref="B2:B73">_xlfn._xlws.FILTER(MRP!A2:A86,MRP!I2:I86&gt;0)</f>
        <v>9</v>
      </c>
      <c r="C2" t="str" cm="1">
        <f t="array" ref="C2:C73">_xlfn.XLOOKUP(_xlfn.ANCHORARRAY(B2),tblItems[item_id],tblItems[item_name])</f>
        <v>Suction Flange</v>
      </c>
      <c r="D2" cm="1">
        <f t="array" ref="D2:D73">_xlfn.XLOOKUP(_xlfn.ANCHORARRAY(B2),tblItems[item_id],tblItems[supplier_id])</f>
        <v>3</v>
      </c>
      <c r="E2" t="str" cm="1">
        <f t="array" ref="E2:E73">_xlfn.XLOOKUP(_xlfn.ANCHORARRAY(D2),tblSuppliers[supplier_id],tblSuppliers[supplier_name])</f>
        <v>L&amp;T Valves</v>
      </c>
      <c r="F2" cm="1">
        <f t="array" ref="F2:F73">_xlfn._xlws.FILTER(MRP!I2:I86,MRP!I2:I86&gt;0)</f>
        <v>42</v>
      </c>
      <c r="G2" t="str" cm="1">
        <f t="array" ref="G2:G73">IF(_xlfn.ANCHORARRAY(B2)&lt;&gt;"","Planned","")</f>
        <v>Planned</v>
      </c>
    </row>
    <row r="3" spans="1:7" x14ac:dyDescent="0.2">
      <c r="A3">
        <v>2</v>
      </c>
      <c r="B3">
        <v>10</v>
      </c>
      <c r="C3" t="str">
        <v>Discharge Flange</v>
      </c>
      <c r="D3">
        <v>3</v>
      </c>
      <c r="E3" t="str">
        <v>L&amp;T Valves</v>
      </c>
      <c r="F3">
        <v>43</v>
      </c>
      <c r="G3" t="str">
        <v>Planned</v>
      </c>
    </row>
    <row r="4" spans="1:7" x14ac:dyDescent="0.2">
      <c r="A4">
        <v>3</v>
      </c>
      <c r="B4">
        <v>16</v>
      </c>
      <c r="C4" t="str">
        <v>Base Plate</v>
      </c>
      <c r="D4">
        <v>4</v>
      </c>
      <c r="E4" t="str">
        <v>Tata Steel Processing</v>
      </c>
      <c r="F4">
        <v>42</v>
      </c>
      <c r="G4" t="str">
        <v>Planned</v>
      </c>
    </row>
    <row r="5" spans="1:7" x14ac:dyDescent="0.2">
      <c r="A5">
        <v>4</v>
      </c>
      <c r="B5">
        <v>17</v>
      </c>
      <c r="C5" t="str">
        <v>Mounting Feet</v>
      </c>
      <c r="D5">
        <v>4</v>
      </c>
      <c r="E5" t="str">
        <v>Tata Steel Processing</v>
      </c>
      <c r="F5">
        <v>87</v>
      </c>
      <c r="G5" t="str">
        <v>Planned</v>
      </c>
    </row>
    <row r="6" spans="1:7" x14ac:dyDescent="0.2">
      <c r="A6">
        <v>5</v>
      </c>
      <c r="B6">
        <v>18</v>
      </c>
      <c r="C6" t="str">
        <v>Coupling Guard</v>
      </c>
      <c r="D6">
        <v>4</v>
      </c>
      <c r="E6" t="str">
        <v>Tata Steel Processing</v>
      </c>
      <c r="F6">
        <v>43</v>
      </c>
      <c r="G6" t="str">
        <v>Planned</v>
      </c>
    </row>
    <row r="7" spans="1:7" x14ac:dyDescent="0.2">
      <c r="A7">
        <v>6</v>
      </c>
      <c r="B7">
        <v>19</v>
      </c>
      <c r="C7" t="str">
        <v>Anti Vibration Pads</v>
      </c>
      <c r="D7">
        <v>2</v>
      </c>
      <c r="E7" t="str">
        <v>Trelleborg Sealing Solutions</v>
      </c>
      <c r="F7">
        <v>180</v>
      </c>
      <c r="G7" t="str">
        <v>Planned</v>
      </c>
    </row>
    <row r="8" spans="1:7" x14ac:dyDescent="0.2">
      <c r="A8">
        <v>7</v>
      </c>
      <c r="B8">
        <v>20</v>
      </c>
      <c r="C8" t="str">
        <v>Anchor Bolts</v>
      </c>
      <c r="D8">
        <v>8</v>
      </c>
      <c r="E8" t="str">
        <v>Fasteners India Pvt. Ltd.</v>
      </c>
      <c r="F8">
        <v>176</v>
      </c>
      <c r="G8" t="str">
        <v>Planned</v>
      </c>
    </row>
    <row r="9" spans="1:7" x14ac:dyDescent="0.2">
      <c r="A9">
        <v>8</v>
      </c>
      <c r="B9">
        <v>21</v>
      </c>
      <c r="C9" t="str">
        <v>Anchor Nuts</v>
      </c>
      <c r="D9">
        <v>8</v>
      </c>
      <c r="E9" t="str">
        <v>Fasteners India Pvt. Ltd.</v>
      </c>
      <c r="F9">
        <v>176</v>
      </c>
      <c r="G9" t="str">
        <v>Planned</v>
      </c>
    </row>
    <row r="10" spans="1:7" x14ac:dyDescent="0.2">
      <c r="A10">
        <v>9</v>
      </c>
      <c r="B10">
        <v>22</v>
      </c>
      <c r="C10" t="str">
        <v>Flat Washers</v>
      </c>
      <c r="D10">
        <v>8</v>
      </c>
      <c r="E10" t="str">
        <v>Fasteners India Pvt. Ltd.</v>
      </c>
      <c r="F10">
        <v>176</v>
      </c>
      <c r="G10" t="str">
        <v>Planned</v>
      </c>
    </row>
    <row r="11" spans="1:7" x14ac:dyDescent="0.2">
      <c r="A11">
        <v>10</v>
      </c>
      <c r="B11">
        <v>23</v>
      </c>
      <c r="C11" t="str">
        <v>Carton Box</v>
      </c>
      <c r="D11">
        <v>9</v>
      </c>
      <c r="E11" t="str">
        <v>Packwell Packaging</v>
      </c>
      <c r="F11">
        <v>42</v>
      </c>
      <c r="G11" t="str">
        <v>Planned</v>
      </c>
    </row>
    <row r="12" spans="1:7" x14ac:dyDescent="0.2">
      <c r="A12">
        <v>11</v>
      </c>
      <c r="B12">
        <v>24</v>
      </c>
      <c r="C12" t="str">
        <v>Foam Inserts</v>
      </c>
      <c r="D12">
        <v>9</v>
      </c>
      <c r="E12" t="str">
        <v>Packwell Packaging</v>
      </c>
      <c r="F12">
        <v>87</v>
      </c>
      <c r="G12" t="str">
        <v>Planned</v>
      </c>
    </row>
    <row r="13" spans="1:7" x14ac:dyDescent="0.2">
      <c r="A13">
        <v>12</v>
      </c>
      <c r="B13">
        <v>25</v>
      </c>
      <c r="C13" t="str">
        <v>Plastic Bag</v>
      </c>
      <c r="D13">
        <v>9</v>
      </c>
      <c r="E13" t="str">
        <v>Packwell Packaging</v>
      </c>
      <c r="F13">
        <v>42</v>
      </c>
      <c r="G13" t="str">
        <v>Planned</v>
      </c>
    </row>
    <row r="14" spans="1:7" x14ac:dyDescent="0.2">
      <c r="A14">
        <v>13</v>
      </c>
      <c r="B14">
        <v>26</v>
      </c>
      <c r="C14" t="str">
        <v>User Manual</v>
      </c>
      <c r="D14">
        <v>9</v>
      </c>
      <c r="E14" t="str">
        <v>Packwell Packaging</v>
      </c>
      <c r="F14">
        <v>38</v>
      </c>
      <c r="G14" t="str">
        <v>Planned</v>
      </c>
    </row>
    <row r="15" spans="1:7" x14ac:dyDescent="0.2">
      <c r="A15">
        <v>14</v>
      </c>
      <c r="B15">
        <v>27</v>
      </c>
      <c r="C15" t="str">
        <v>Warranty Card</v>
      </c>
      <c r="D15">
        <v>9</v>
      </c>
      <c r="E15" t="str">
        <v>Packwell Packaging</v>
      </c>
      <c r="F15">
        <v>38</v>
      </c>
      <c r="G15" t="str">
        <v>Planned</v>
      </c>
    </row>
    <row r="16" spans="1:7" x14ac:dyDescent="0.2">
      <c r="A16">
        <v>15</v>
      </c>
      <c r="B16">
        <v>28</v>
      </c>
      <c r="C16" t="str">
        <v>Product Label</v>
      </c>
      <c r="D16">
        <v>9</v>
      </c>
      <c r="E16" t="str">
        <v>Packwell Packaging</v>
      </c>
      <c r="F16">
        <v>84</v>
      </c>
      <c r="G16" t="str">
        <v>Planned</v>
      </c>
    </row>
    <row r="17" spans="1:7" x14ac:dyDescent="0.2">
      <c r="A17">
        <v>16</v>
      </c>
      <c r="B17">
        <v>29</v>
      </c>
      <c r="C17" t="str">
        <v>Pump Casing</v>
      </c>
      <c r="D17">
        <v>4</v>
      </c>
      <c r="E17" t="str">
        <v>Tata Steel Processing</v>
      </c>
      <c r="F17">
        <v>42</v>
      </c>
      <c r="G17" t="str">
        <v>Planned</v>
      </c>
    </row>
    <row r="18" spans="1:7" x14ac:dyDescent="0.2">
      <c r="A18">
        <v>17</v>
      </c>
      <c r="B18">
        <v>30</v>
      </c>
      <c r="C18" t="str">
        <v>Casing Cover</v>
      </c>
      <c r="D18">
        <v>4</v>
      </c>
      <c r="E18" t="str">
        <v>Tata Steel Processing</v>
      </c>
      <c r="F18">
        <v>43</v>
      </c>
      <c r="G18" t="str">
        <v>Planned</v>
      </c>
    </row>
    <row r="19" spans="1:7" x14ac:dyDescent="0.2">
      <c r="A19">
        <v>18</v>
      </c>
      <c r="B19">
        <v>31</v>
      </c>
      <c r="C19" t="str">
        <v>Wear Ring</v>
      </c>
      <c r="D19">
        <v>1</v>
      </c>
      <c r="E19" t="str">
        <v>SKF India Ltd.</v>
      </c>
      <c r="F19">
        <v>87</v>
      </c>
      <c r="G19" t="str">
        <v>Planned</v>
      </c>
    </row>
    <row r="20" spans="1:7" x14ac:dyDescent="0.2">
      <c r="A20">
        <v>19</v>
      </c>
      <c r="B20">
        <v>32</v>
      </c>
      <c r="C20" t="str">
        <v>Casing Gasket</v>
      </c>
      <c r="D20">
        <v>7</v>
      </c>
      <c r="E20" t="str">
        <v>Saint-Gobain India</v>
      </c>
      <c r="F20">
        <v>40</v>
      </c>
      <c r="G20" t="str">
        <v>Planned</v>
      </c>
    </row>
    <row r="21" spans="1:7" x14ac:dyDescent="0.2">
      <c r="A21">
        <v>20</v>
      </c>
      <c r="B21">
        <v>33</v>
      </c>
      <c r="C21" t="str">
        <v>Drain Plug</v>
      </c>
      <c r="D21">
        <v>3</v>
      </c>
      <c r="E21" t="str">
        <v>L&amp;T Valves</v>
      </c>
      <c r="F21">
        <v>86</v>
      </c>
      <c r="G21" t="str">
        <v>Planned</v>
      </c>
    </row>
    <row r="22" spans="1:7" x14ac:dyDescent="0.2">
      <c r="A22">
        <v>21</v>
      </c>
      <c r="B22">
        <v>34</v>
      </c>
      <c r="C22" t="str">
        <v>Hex Bolt M12</v>
      </c>
      <c r="D22">
        <v>8</v>
      </c>
      <c r="E22" t="str">
        <v>Fasteners India Pvt. Ltd.</v>
      </c>
      <c r="F22">
        <v>532</v>
      </c>
      <c r="G22" t="str">
        <v>Planned</v>
      </c>
    </row>
    <row r="23" spans="1:7" x14ac:dyDescent="0.2">
      <c r="A23">
        <v>22</v>
      </c>
      <c r="B23">
        <v>35</v>
      </c>
      <c r="C23" t="str">
        <v>Hex Nut M12</v>
      </c>
      <c r="D23">
        <v>8</v>
      </c>
      <c r="E23" t="str">
        <v>Fasteners India Pvt. Ltd.</v>
      </c>
      <c r="F23">
        <v>532</v>
      </c>
      <c r="G23" t="str">
        <v>Planned</v>
      </c>
    </row>
    <row r="24" spans="1:7" x14ac:dyDescent="0.2">
      <c r="A24">
        <v>23</v>
      </c>
      <c r="B24">
        <v>36</v>
      </c>
      <c r="C24" t="str">
        <v>Flat Washer</v>
      </c>
      <c r="D24">
        <v>8</v>
      </c>
      <c r="E24" t="str">
        <v>Fasteners India Pvt. Ltd.</v>
      </c>
      <c r="F24">
        <v>1162</v>
      </c>
      <c r="G24" t="str">
        <v>Planned</v>
      </c>
    </row>
    <row r="25" spans="1:7" x14ac:dyDescent="0.2">
      <c r="A25">
        <v>24</v>
      </c>
      <c r="B25">
        <v>37</v>
      </c>
      <c r="C25" t="str">
        <v>Spring Washer</v>
      </c>
      <c r="D25">
        <v>8</v>
      </c>
      <c r="E25" t="str">
        <v>Fasteners India Pvt. Ltd.</v>
      </c>
      <c r="F25">
        <v>532</v>
      </c>
      <c r="G25" t="str">
        <v>Planned</v>
      </c>
    </row>
    <row r="26" spans="1:7" x14ac:dyDescent="0.2">
      <c r="A26">
        <v>25</v>
      </c>
      <c r="B26">
        <v>38</v>
      </c>
      <c r="C26" t="str">
        <v>Pump Shaft</v>
      </c>
      <c r="D26">
        <v>4</v>
      </c>
      <c r="E26" t="str">
        <v>Tata Steel Processing</v>
      </c>
      <c r="F26">
        <v>44</v>
      </c>
      <c r="G26" t="str">
        <v>Planned</v>
      </c>
    </row>
    <row r="27" spans="1:7" x14ac:dyDescent="0.2">
      <c r="A27">
        <v>26</v>
      </c>
      <c r="B27">
        <v>39</v>
      </c>
      <c r="C27" t="str">
        <v>Impeller</v>
      </c>
      <c r="D27">
        <v>4</v>
      </c>
      <c r="E27" t="str">
        <v>Tata Steel Processing</v>
      </c>
      <c r="F27">
        <v>43</v>
      </c>
      <c r="G27" t="str">
        <v>Planned</v>
      </c>
    </row>
    <row r="28" spans="1:7" x14ac:dyDescent="0.2">
      <c r="A28">
        <v>27</v>
      </c>
      <c r="B28">
        <v>40</v>
      </c>
      <c r="C28" t="str">
        <v>Front Bearing</v>
      </c>
      <c r="D28">
        <v>1</v>
      </c>
      <c r="E28" t="str">
        <v>SKF India Ltd.</v>
      </c>
      <c r="F28">
        <v>43</v>
      </c>
      <c r="G28" t="str">
        <v>Planned</v>
      </c>
    </row>
    <row r="29" spans="1:7" x14ac:dyDescent="0.2">
      <c r="A29">
        <v>28</v>
      </c>
      <c r="B29">
        <v>41</v>
      </c>
      <c r="C29" t="str">
        <v>Rear Bearing</v>
      </c>
      <c r="D29">
        <v>1</v>
      </c>
      <c r="E29" t="str">
        <v>SKF India Ltd.</v>
      </c>
      <c r="F29">
        <v>44</v>
      </c>
      <c r="G29" t="str">
        <v>Planned</v>
      </c>
    </row>
    <row r="30" spans="1:7" x14ac:dyDescent="0.2">
      <c r="A30">
        <v>29</v>
      </c>
      <c r="B30">
        <v>42</v>
      </c>
      <c r="C30" t="str">
        <v>Bearing Housing</v>
      </c>
      <c r="D30">
        <v>4</v>
      </c>
      <c r="E30" t="str">
        <v>Tata Steel Processing</v>
      </c>
      <c r="F30">
        <v>44</v>
      </c>
      <c r="G30" t="str">
        <v>Planned</v>
      </c>
    </row>
    <row r="31" spans="1:7" x14ac:dyDescent="0.2">
      <c r="A31">
        <v>30</v>
      </c>
      <c r="B31">
        <v>43</v>
      </c>
      <c r="C31" t="str">
        <v>Shaft Sleeve</v>
      </c>
      <c r="D31">
        <v>4</v>
      </c>
      <c r="E31" t="str">
        <v>Tata Steel Processing</v>
      </c>
      <c r="F31">
        <v>43</v>
      </c>
      <c r="G31" t="str">
        <v>Planned</v>
      </c>
    </row>
    <row r="32" spans="1:7" x14ac:dyDescent="0.2">
      <c r="A32">
        <v>31</v>
      </c>
      <c r="B32">
        <v>44</v>
      </c>
      <c r="C32" t="str">
        <v>Shaft Key</v>
      </c>
      <c r="D32">
        <v>8</v>
      </c>
      <c r="E32" t="str">
        <v>Fasteners India Pvt. Ltd.</v>
      </c>
      <c r="F32">
        <v>41</v>
      </c>
      <c r="G32" t="str">
        <v>Planned</v>
      </c>
    </row>
    <row r="33" spans="1:7" x14ac:dyDescent="0.2">
      <c r="A33">
        <v>32</v>
      </c>
      <c r="B33">
        <v>45</v>
      </c>
      <c r="C33" t="str">
        <v>Bearing Lock Nut</v>
      </c>
      <c r="D33">
        <v>8</v>
      </c>
      <c r="E33" t="str">
        <v>Fasteners India Pvt. Ltd.</v>
      </c>
      <c r="F33">
        <v>88</v>
      </c>
      <c r="G33" t="str">
        <v>Planned</v>
      </c>
    </row>
    <row r="34" spans="1:7" x14ac:dyDescent="0.2">
      <c r="A34">
        <v>33</v>
      </c>
      <c r="B34">
        <v>46</v>
      </c>
      <c r="C34" t="str">
        <v>Retaining Ring</v>
      </c>
      <c r="D34">
        <v>8</v>
      </c>
      <c r="E34" t="str">
        <v>Fasteners India Pvt. Ltd.</v>
      </c>
      <c r="F34">
        <v>179</v>
      </c>
      <c r="G34" t="str">
        <v>Planned</v>
      </c>
    </row>
    <row r="35" spans="1:7" x14ac:dyDescent="0.2">
      <c r="A35">
        <v>34</v>
      </c>
      <c r="B35">
        <v>47</v>
      </c>
      <c r="C35" t="str">
        <v>Spacer Ring</v>
      </c>
      <c r="D35">
        <v>4</v>
      </c>
      <c r="E35" t="str">
        <v>Tata Steel Processing</v>
      </c>
      <c r="F35">
        <v>88</v>
      </c>
      <c r="G35" t="str">
        <v>Planned</v>
      </c>
    </row>
    <row r="36" spans="1:7" x14ac:dyDescent="0.2">
      <c r="A36">
        <v>35</v>
      </c>
      <c r="B36">
        <v>48</v>
      </c>
      <c r="C36" t="str">
        <v>Circlip</v>
      </c>
      <c r="D36">
        <v>8</v>
      </c>
      <c r="E36" t="str">
        <v>Fasteners India Pvt. Ltd.</v>
      </c>
      <c r="F36">
        <v>87</v>
      </c>
      <c r="G36" t="str">
        <v>Planned</v>
      </c>
    </row>
    <row r="37" spans="1:7" x14ac:dyDescent="0.2">
      <c r="A37">
        <v>36</v>
      </c>
      <c r="B37">
        <v>49</v>
      </c>
      <c r="C37" t="str">
        <v>Rotating Seal Ring</v>
      </c>
      <c r="D37">
        <v>2</v>
      </c>
      <c r="E37" t="str">
        <v>Trelleborg Sealing Solutions</v>
      </c>
      <c r="F37">
        <v>41</v>
      </c>
      <c r="G37" t="str">
        <v>Planned</v>
      </c>
    </row>
    <row r="38" spans="1:7" x14ac:dyDescent="0.2">
      <c r="A38">
        <v>37</v>
      </c>
      <c r="B38">
        <v>50</v>
      </c>
      <c r="C38" t="str">
        <v>Stationary Seal Ring</v>
      </c>
      <c r="D38">
        <v>2</v>
      </c>
      <c r="E38" t="str">
        <v>Trelleborg Sealing Solutions</v>
      </c>
      <c r="F38">
        <v>41</v>
      </c>
      <c r="G38" t="str">
        <v>Planned</v>
      </c>
    </row>
    <row r="39" spans="1:7" x14ac:dyDescent="0.2">
      <c r="A39">
        <v>38</v>
      </c>
      <c r="B39">
        <v>51</v>
      </c>
      <c r="C39" t="str">
        <v>Spring</v>
      </c>
      <c r="D39">
        <v>8</v>
      </c>
      <c r="E39" t="str">
        <v>Fasteners India Pvt. Ltd.</v>
      </c>
      <c r="F39">
        <v>39</v>
      </c>
      <c r="G39" t="str">
        <v>Planned</v>
      </c>
    </row>
    <row r="40" spans="1:7" x14ac:dyDescent="0.2">
      <c r="A40">
        <v>39</v>
      </c>
      <c r="B40">
        <v>52</v>
      </c>
      <c r="C40" t="str">
        <v>O-Ring</v>
      </c>
      <c r="D40">
        <v>2</v>
      </c>
      <c r="E40" t="str">
        <v>Trelleborg Sealing Solutions</v>
      </c>
      <c r="F40">
        <v>170</v>
      </c>
      <c r="G40" t="str">
        <v>Planned</v>
      </c>
    </row>
    <row r="41" spans="1:7" x14ac:dyDescent="0.2">
      <c r="A41">
        <v>40</v>
      </c>
      <c r="B41">
        <v>53</v>
      </c>
      <c r="C41" t="str">
        <v>Seal Retainer</v>
      </c>
      <c r="D41">
        <v>2</v>
      </c>
      <c r="E41" t="str">
        <v>Trelleborg Sealing Solutions</v>
      </c>
      <c r="F41">
        <v>41</v>
      </c>
      <c r="G41" t="str">
        <v>Planned</v>
      </c>
    </row>
    <row r="42" spans="1:7" x14ac:dyDescent="0.2">
      <c r="A42">
        <v>41</v>
      </c>
      <c r="B42">
        <v>54</v>
      </c>
      <c r="C42" t="str">
        <v>Drive Pin</v>
      </c>
      <c r="D42">
        <v>8</v>
      </c>
      <c r="E42" t="str">
        <v>Fasteners India Pvt. Ltd.</v>
      </c>
      <c r="F42">
        <v>84</v>
      </c>
      <c r="G42" t="str">
        <v>Planned</v>
      </c>
    </row>
    <row r="43" spans="1:7" x14ac:dyDescent="0.2">
      <c r="A43">
        <v>42</v>
      </c>
      <c r="B43">
        <v>55</v>
      </c>
      <c r="C43" t="str">
        <v>Retaining Clip</v>
      </c>
      <c r="D43">
        <v>8</v>
      </c>
      <c r="E43" t="str">
        <v>Fasteners India Pvt. Ltd.</v>
      </c>
      <c r="F43">
        <v>84</v>
      </c>
      <c r="G43" t="str">
        <v>Planned</v>
      </c>
    </row>
    <row r="44" spans="1:7" x14ac:dyDescent="0.2">
      <c r="A44">
        <v>43</v>
      </c>
      <c r="B44">
        <v>56</v>
      </c>
      <c r="C44" t="str">
        <v>Motor Housing</v>
      </c>
      <c r="D44">
        <v>4</v>
      </c>
      <c r="E44" t="str">
        <v>Tata Steel Processing</v>
      </c>
      <c r="F44">
        <v>43</v>
      </c>
      <c r="G44" t="str">
        <v>Planned</v>
      </c>
    </row>
    <row r="45" spans="1:7" x14ac:dyDescent="0.2">
      <c r="A45">
        <v>44</v>
      </c>
      <c r="B45">
        <v>57</v>
      </c>
      <c r="C45" t="str">
        <v>Fan Cover</v>
      </c>
      <c r="D45">
        <v>4</v>
      </c>
      <c r="E45" t="str">
        <v>Tata Steel Processing</v>
      </c>
      <c r="F45">
        <v>42</v>
      </c>
      <c r="G45" t="str">
        <v>Planned</v>
      </c>
    </row>
    <row r="46" spans="1:7" x14ac:dyDescent="0.2">
      <c r="A46">
        <v>45</v>
      </c>
      <c r="B46">
        <v>58</v>
      </c>
      <c r="C46" t="str">
        <v>Nameplate</v>
      </c>
      <c r="D46">
        <v>9</v>
      </c>
      <c r="E46" t="str">
        <v>Packwell Packaging</v>
      </c>
      <c r="F46">
        <v>40</v>
      </c>
      <c r="G46" t="str">
        <v>Planned</v>
      </c>
    </row>
    <row r="47" spans="1:7" x14ac:dyDescent="0.2">
      <c r="A47">
        <v>46</v>
      </c>
      <c r="B47">
        <v>59</v>
      </c>
      <c r="C47" t="str">
        <v>Cable Gland</v>
      </c>
      <c r="D47">
        <v>10</v>
      </c>
      <c r="E47" t="str">
        <v>C&amp;S Electric</v>
      </c>
      <c r="F47">
        <v>86</v>
      </c>
      <c r="G47" t="str">
        <v>Planned</v>
      </c>
    </row>
    <row r="48" spans="1:7" x14ac:dyDescent="0.2">
      <c r="A48">
        <v>47</v>
      </c>
      <c r="B48">
        <v>60</v>
      </c>
      <c r="C48" t="str">
        <v>Mounting Bolt</v>
      </c>
      <c r="D48">
        <v>8</v>
      </c>
      <c r="E48" t="str">
        <v>Fasteners India Pvt. Ltd.</v>
      </c>
      <c r="F48">
        <v>354</v>
      </c>
      <c r="G48" t="str">
        <v>Planned</v>
      </c>
    </row>
    <row r="49" spans="1:7" x14ac:dyDescent="0.2">
      <c r="A49">
        <v>48</v>
      </c>
      <c r="B49">
        <v>61</v>
      </c>
      <c r="C49" t="str">
        <v>Mounting Nut</v>
      </c>
      <c r="D49">
        <v>8</v>
      </c>
      <c r="E49" t="str">
        <v>Fasteners India Pvt. Ltd.</v>
      </c>
      <c r="F49">
        <v>354</v>
      </c>
      <c r="G49" t="str">
        <v>Planned</v>
      </c>
    </row>
    <row r="50" spans="1:7" x14ac:dyDescent="0.2">
      <c r="A50">
        <v>49</v>
      </c>
      <c r="B50">
        <v>62</v>
      </c>
      <c r="C50" t="str">
        <v>Lock Washer</v>
      </c>
      <c r="D50">
        <v>8</v>
      </c>
      <c r="E50" t="str">
        <v>Fasteners India Pvt. Ltd.</v>
      </c>
      <c r="F50">
        <v>534</v>
      </c>
      <c r="G50" t="str">
        <v>Planned</v>
      </c>
    </row>
    <row r="51" spans="1:7" x14ac:dyDescent="0.2">
      <c r="A51">
        <v>50</v>
      </c>
      <c r="B51">
        <v>63</v>
      </c>
      <c r="C51" t="str">
        <v>Rotor Shaft</v>
      </c>
      <c r="D51">
        <v>4</v>
      </c>
      <c r="E51" t="str">
        <v>Tata Steel Processing</v>
      </c>
      <c r="F51">
        <v>44</v>
      </c>
      <c r="G51" t="str">
        <v>Planned</v>
      </c>
    </row>
    <row r="52" spans="1:7" x14ac:dyDescent="0.2">
      <c r="A52">
        <v>51</v>
      </c>
      <c r="B52">
        <v>64</v>
      </c>
      <c r="C52" t="str">
        <v>Rotor Core</v>
      </c>
      <c r="D52">
        <v>4</v>
      </c>
      <c r="E52" t="str">
        <v>Tata Steel Processing</v>
      </c>
      <c r="F52">
        <v>44</v>
      </c>
      <c r="G52" t="str">
        <v>Planned</v>
      </c>
    </row>
    <row r="53" spans="1:7" x14ac:dyDescent="0.2">
      <c r="A53">
        <v>52</v>
      </c>
      <c r="B53">
        <v>65</v>
      </c>
      <c r="C53" t="str">
        <v>Copper Bars</v>
      </c>
      <c r="D53">
        <v>6</v>
      </c>
      <c r="E53" t="str">
        <v>RR Kabel</v>
      </c>
      <c r="F53">
        <v>1282</v>
      </c>
      <c r="G53" t="str">
        <v>Planned</v>
      </c>
    </row>
    <row r="54" spans="1:7" x14ac:dyDescent="0.2">
      <c r="A54">
        <v>53</v>
      </c>
      <c r="B54">
        <v>66</v>
      </c>
      <c r="C54" t="str">
        <v>End Rings</v>
      </c>
      <c r="D54">
        <v>5</v>
      </c>
      <c r="E54" t="str">
        <v>Hindalco Industries</v>
      </c>
      <c r="F54">
        <v>88</v>
      </c>
      <c r="G54" t="str">
        <v>Planned</v>
      </c>
    </row>
    <row r="55" spans="1:7" x14ac:dyDescent="0.2">
      <c r="A55">
        <v>54</v>
      </c>
      <c r="B55">
        <v>67</v>
      </c>
      <c r="C55" t="str">
        <v>Rotor Retaining Ring</v>
      </c>
      <c r="D55">
        <v>8</v>
      </c>
      <c r="E55" t="str">
        <v>Fasteners India Pvt. Ltd.</v>
      </c>
      <c r="F55">
        <v>88</v>
      </c>
      <c r="G55" t="str">
        <v>Planned</v>
      </c>
    </row>
    <row r="56" spans="1:7" x14ac:dyDescent="0.2">
      <c r="A56">
        <v>55</v>
      </c>
      <c r="B56">
        <v>68</v>
      </c>
      <c r="C56" t="str">
        <v>Balancing Weight</v>
      </c>
      <c r="D56">
        <v>5</v>
      </c>
      <c r="E56" t="str">
        <v>Hindalco Industries</v>
      </c>
      <c r="F56">
        <v>179</v>
      </c>
      <c r="G56" t="str">
        <v>Planned</v>
      </c>
    </row>
    <row r="57" spans="1:7" x14ac:dyDescent="0.2">
      <c r="A57">
        <v>56</v>
      </c>
      <c r="B57">
        <v>69</v>
      </c>
      <c r="C57" t="str">
        <v>Stator Core</v>
      </c>
      <c r="D57">
        <v>4</v>
      </c>
      <c r="E57" t="str">
        <v>Tata Steel Processing</v>
      </c>
      <c r="F57">
        <v>43</v>
      </c>
      <c r="G57" t="str">
        <v>Planned</v>
      </c>
    </row>
    <row r="58" spans="1:7" x14ac:dyDescent="0.2">
      <c r="A58">
        <v>57</v>
      </c>
      <c r="B58">
        <v>70</v>
      </c>
      <c r="C58" t="str">
        <v>Copper Windings</v>
      </c>
      <c r="D58">
        <v>6</v>
      </c>
      <c r="E58" t="str">
        <v>RR Kabel</v>
      </c>
      <c r="F58">
        <v>264</v>
      </c>
      <c r="G58" t="str">
        <v>Planned</v>
      </c>
    </row>
    <row r="59" spans="1:7" x14ac:dyDescent="0.2">
      <c r="A59">
        <v>58</v>
      </c>
      <c r="B59">
        <v>71</v>
      </c>
      <c r="C59" t="str">
        <v>Insulation Paper</v>
      </c>
      <c r="D59">
        <v>7</v>
      </c>
      <c r="E59" t="str">
        <v>Saint-Gobain India</v>
      </c>
      <c r="F59">
        <v>1072</v>
      </c>
      <c r="G59" t="str">
        <v>Planned</v>
      </c>
    </row>
    <row r="60" spans="1:7" x14ac:dyDescent="0.2">
      <c r="A60">
        <v>59</v>
      </c>
      <c r="B60">
        <v>72</v>
      </c>
      <c r="C60" t="str">
        <v>Slot Wedges</v>
      </c>
      <c r="D60">
        <v>7</v>
      </c>
      <c r="E60" t="str">
        <v>Saint-Gobain India</v>
      </c>
      <c r="F60">
        <v>1074</v>
      </c>
      <c r="G60" t="str">
        <v>Planned</v>
      </c>
    </row>
    <row r="61" spans="1:7" x14ac:dyDescent="0.2">
      <c r="A61">
        <v>60</v>
      </c>
      <c r="B61">
        <v>73</v>
      </c>
      <c r="C61" t="str">
        <v>Terminal Leads</v>
      </c>
      <c r="D61">
        <v>10</v>
      </c>
      <c r="E61" t="str">
        <v>C&amp;S Electric</v>
      </c>
      <c r="F61">
        <v>130</v>
      </c>
      <c r="G61" t="str">
        <v>Planned</v>
      </c>
    </row>
    <row r="62" spans="1:7" x14ac:dyDescent="0.2">
      <c r="A62">
        <v>61</v>
      </c>
      <c r="B62">
        <v>74</v>
      </c>
      <c r="C62" t="str">
        <v>Insulating Sleeves</v>
      </c>
      <c r="D62">
        <v>10</v>
      </c>
      <c r="E62" t="str">
        <v>C&amp;S Electric</v>
      </c>
      <c r="F62">
        <v>536</v>
      </c>
      <c r="G62" t="str">
        <v>Planned</v>
      </c>
    </row>
    <row r="63" spans="1:7" x14ac:dyDescent="0.2">
      <c r="A63">
        <v>62</v>
      </c>
      <c r="B63">
        <v>75</v>
      </c>
      <c r="C63" t="str">
        <v>Cable Ties</v>
      </c>
      <c r="D63">
        <v>10</v>
      </c>
      <c r="E63" t="str">
        <v>C&amp;S Electric</v>
      </c>
      <c r="F63">
        <v>535</v>
      </c>
      <c r="G63" t="str">
        <v>Planned</v>
      </c>
    </row>
    <row r="64" spans="1:7" x14ac:dyDescent="0.2">
      <c r="A64">
        <v>63</v>
      </c>
      <c r="B64">
        <v>76</v>
      </c>
      <c r="C64" t="str">
        <v>Varnish Pack</v>
      </c>
      <c r="D64">
        <v>7</v>
      </c>
      <c r="E64" t="str">
        <v>Saint-Gobain India</v>
      </c>
      <c r="F64">
        <v>42</v>
      </c>
      <c r="G64" t="str">
        <v>Planned</v>
      </c>
    </row>
    <row r="65" spans="1:7" x14ac:dyDescent="0.2">
      <c r="A65">
        <v>64</v>
      </c>
      <c r="B65">
        <v>77</v>
      </c>
      <c r="C65" t="str">
        <v>Cooling Fan</v>
      </c>
      <c r="D65">
        <v>5</v>
      </c>
      <c r="E65" t="str">
        <v>Hindalco Industries</v>
      </c>
      <c r="F65">
        <v>41</v>
      </c>
      <c r="G65" t="str">
        <v>Planned</v>
      </c>
    </row>
    <row r="66" spans="1:7" x14ac:dyDescent="0.2">
      <c r="A66">
        <v>65</v>
      </c>
      <c r="B66">
        <v>78</v>
      </c>
      <c r="C66" t="str">
        <v>Fan Hub</v>
      </c>
      <c r="D66">
        <v>5</v>
      </c>
      <c r="E66" t="str">
        <v>Hindalco Industries</v>
      </c>
      <c r="F66">
        <v>41</v>
      </c>
      <c r="G66" t="str">
        <v>Planned</v>
      </c>
    </row>
    <row r="67" spans="1:7" x14ac:dyDescent="0.2">
      <c r="A67">
        <v>66</v>
      </c>
      <c r="B67">
        <v>79</v>
      </c>
      <c r="C67" t="str">
        <v>Set Screw</v>
      </c>
      <c r="D67">
        <v>8</v>
      </c>
      <c r="E67" t="str">
        <v>Fasteners India Pvt. Ltd.</v>
      </c>
      <c r="F67">
        <v>83</v>
      </c>
      <c r="G67" t="str">
        <v>Planned</v>
      </c>
    </row>
    <row r="68" spans="1:7" x14ac:dyDescent="0.2">
      <c r="A68">
        <v>67</v>
      </c>
      <c r="B68">
        <v>80</v>
      </c>
      <c r="C68" t="str">
        <v>Terminal Box</v>
      </c>
      <c r="D68">
        <v>10</v>
      </c>
      <c r="E68" t="str">
        <v>C&amp;S Electric</v>
      </c>
      <c r="F68">
        <v>42</v>
      </c>
      <c r="G68" t="str">
        <v>Planned</v>
      </c>
    </row>
    <row r="69" spans="1:7" x14ac:dyDescent="0.2">
      <c r="A69">
        <v>68</v>
      </c>
      <c r="B69">
        <v>81</v>
      </c>
      <c r="C69" t="str">
        <v>Terminal Block</v>
      </c>
      <c r="D69">
        <v>10</v>
      </c>
      <c r="E69" t="str">
        <v>C&amp;S Electric</v>
      </c>
      <c r="F69">
        <v>41</v>
      </c>
      <c r="G69" t="str">
        <v>Planned</v>
      </c>
    </row>
    <row r="70" spans="1:7" x14ac:dyDescent="0.2">
      <c r="A70">
        <v>69</v>
      </c>
      <c r="B70">
        <v>82</v>
      </c>
      <c r="C70" t="str">
        <v>Terminal Cover</v>
      </c>
      <c r="D70">
        <v>10</v>
      </c>
      <c r="E70" t="str">
        <v>C&amp;S Electric</v>
      </c>
      <c r="F70">
        <v>41</v>
      </c>
      <c r="G70" t="str">
        <v>Planned</v>
      </c>
    </row>
    <row r="71" spans="1:7" x14ac:dyDescent="0.2">
      <c r="A71">
        <v>70</v>
      </c>
      <c r="B71">
        <v>83</v>
      </c>
      <c r="C71" t="str">
        <v>Terminal Screw</v>
      </c>
      <c r="D71">
        <v>8</v>
      </c>
      <c r="E71" t="str">
        <v>Fasteners India Pvt. Ltd.</v>
      </c>
      <c r="F71">
        <v>264</v>
      </c>
      <c r="G71" t="str">
        <v>Planned</v>
      </c>
    </row>
    <row r="72" spans="1:7" x14ac:dyDescent="0.2">
      <c r="A72">
        <v>71</v>
      </c>
      <c r="B72">
        <v>84</v>
      </c>
      <c r="C72" t="str">
        <v>Terminal Nut</v>
      </c>
      <c r="D72">
        <v>8</v>
      </c>
      <c r="E72" t="str">
        <v>Fasteners India Pvt. Ltd.</v>
      </c>
      <c r="F72">
        <v>264</v>
      </c>
      <c r="G72" t="str">
        <v>Planned</v>
      </c>
    </row>
    <row r="73" spans="1:7" x14ac:dyDescent="0.2">
      <c r="A73">
        <v>72</v>
      </c>
      <c r="B73">
        <v>85</v>
      </c>
      <c r="C73" t="str">
        <v>Cable Clamp</v>
      </c>
      <c r="D73">
        <v>10</v>
      </c>
      <c r="E73" t="str">
        <v>C&amp;S Electric</v>
      </c>
      <c r="F73">
        <v>86</v>
      </c>
      <c r="G73" t="str">
        <v>Planned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Items</vt:lpstr>
      <vt:lpstr>BOM</vt:lpstr>
      <vt:lpstr>Inventory</vt:lpstr>
      <vt:lpstr>Customer Orders</vt:lpstr>
      <vt:lpstr>Suppliers</vt:lpstr>
      <vt:lpstr>BOM Explosion</vt:lpstr>
      <vt:lpstr>MRP</vt:lpstr>
      <vt:lpstr>Planned Production Orders</vt:lpstr>
      <vt:lpstr>Planned Purchase 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Paras Singh</dc:creator>
  <cp:lastModifiedBy>Paras Singh</cp:lastModifiedBy>
  <dcterms:created xsi:type="dcterms:W3CDTF">2026-07-21T10:10:24Z</dcterms:created>
  <dcterms:modified xsi:type="dcterms:W3CDTF">2026-07-22T07:36:08Z</dcterms:modified>
</cp:coreProperties>
</file>